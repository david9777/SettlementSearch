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'Candidates'!$A$1:$O$600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9"/>
    </font>
    <font>
      <name val="Calibri"/>
      <i val="1"/>
      <color rgb="003F3F3F"/>
      <sz val="11"/>
    </font>
    <font>
      <name val="Calibri"/>
      <b val="1"/>
      <color rgb="001F4E78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1F4E78"/>
      <sz val="18"/>
    </font>
    <font>
      <name val="Calibri"/>
      <i val="1"/>
      <color rgb="00808080"/>
      <sz val="11"/>
    </font>
  </fonts>
  <fills count="7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8" fillId="0" borderId="0" applyAlignment="1" pivotButton="0" quotePrefix="0" xfId="0">
      <alignment vertical="center" wrapText="1" indent="1"/>
    </xf>
    <xf numFmtId="0" fontId="9" fillId="0" borderId="0" applyAlignment="1" pivotButton="0" quotePrefix="0" xfId="0">
      <alignment vertical="center" wrapText="1" indent="1"/>
    </xf>
    <xf numFmtId="0" fontId="6" fillId="5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1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5" fontId="0" fillId="0" borderId="0" pivotButton="0" quotePrefix="0" xfId="0"/>
    <xf numFmtId="1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7" fillId="6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BDD7EE"/>
          <bgColor rgb="00BDD7EE"/>
        </patternFill>
      </fill>
    </dxf>
    <dxf>
      <fill>
        <patternFill patternType="solid">
          <fgColor rgb="00C6E0B4"/>
          <bgColor rgb="00C6E0B4"/>
        </patternFill>
      </fill>
    </dxf>
    <dxf>
      <border>
        <left style="thin">
          <color rgb="00BFBFBF"/>
        </left>
        <right style="thin">
          <color rgb="00BFBFBF"/>
        </right>
        <top style="thin">
          <color rgb="00BFBFBF"/>
        </top>
        <bottom style="thin">
          <color rgb="00BFBFBF"/>
        </bottom>
      </border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i val="1"/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92" customWidth="1" min="3" max="3"/>
  </cols>
  <sheetData>
    <row r="1" ht="28" customHeight="1">
      <c r="B1" s="1" t="inlineStr">
        <is>
          <t>BCBA Sourcing Tracker — NC + MD — Read Me</t>
        </is>
      </c>
    </row>
    <row r="2">
      <c r="B2" s="2" t="inlineStr">
        <is>
          <t>A sourcing roster built on PUBLIC professional-licensing data.</t>
        </is>
      </c>
    </row>
    <row r="4" ht="22" customHeight="1">
      <c r="B4" s="3" t="inlineStr">
        <is>
          <t>1.  The Tabs</t>
        </is>
      </c>
    </row>
    <row r="5">
      <c r="B5" s="4" t="inlineStr">
        <is>
          <t>•  Candidates — one row per licensee. Type directly into the cells; the green "Years Licensed" column fills in automatically from the issue date.</t>
        </is>
      </c>
    </row>
    <row r="6">
      <c r="B6" s="4" t="inlineStr">
        <is>
          <t>•  Dashboard — live counts by state, credential, license status, outreach status, and years-licensed range. Updates as you edit Candidates.</t>
        </is>
      </c>
    </row>
    <row r="7">
      <c r="B7" s="4" t="inlineStr">
        <is>
          <t>•  Lists — the menu of choices behind every dropdown.</t>
        </is>
      </c>
    </row>
    <row r="8">
      <c r="B8" s="4" t="inlineStr">
        <is>
          <t>•  Read Me — this tab.</t>
        </is>
      </c>
    </row>
    <row r="10" ht="22" customHeight="1">
      <c r="B10" s="3" t="inlineStr">
        <is>
          <t>2.  Where the Data Comes From (public sources)</t>
        </is>
      </c>
    </row>
    <row r="11">
      <c r="B11" s="4" t="inlineStr">
        <is>
          <t>•  BACB certificant registry — name, credential, certification #, certification date, status, city/state.</t>
        </is>
      </c>
    </row>
    <row r="12">
      <c r="B12" s="4" t="inlineStr">
        <is>
          <t>•  NC Behavior Analyst Licensure Board — LBA/LABA license verification.</t>
        </is>
      </c>
    </row>
    <row r="13">
      <c r="B13" s="4" t="inlineStr">
        <is>
          <t>•  Maryland Board of Professional Counselors &amp; Therapists (BOPC) — behavior-analyst licensees.</t>
        </is>
      </c>
    </row>
    <row r="14">
      <c r="B14" s="4" t="inlineStr">
        <is>
          <t>•  LinkedIn URL and Professional Contact are filled in by you during normal sourcing — look people up one at a time and record the PUBLIC professional profile / office line / work email only.</t>
        </is>
      </c>
    </row>
    <row r="16" ht="22" customHeight="1">
      <c r="B16" s="3" t="inlineStr">
        <is>
          <t>3.  Years Licensed (item b, done properly)</t>
        </is>
      </c>
    </row>
    <row r="17">
      <c r="B17" s="4" t="inlineStr">
        <is>
          <t>•  Enter the License / Cert Issue Date and the Years Licensed column computes whole years automatically. Use the Dashboard buckets to target by tenure.</t>
        </is>
      </c>
    </row>
    <row r="19" ht="22" customHeight="1">
      <c r="B19" s="3" t="inlineStr">
        <is>
          <t>4.  Fields intentionally NOT in this workbook</t>
        </is>
      </c>
    </row>
    <row r="20">
      <c r="B20" s="4" t="inlineStr">
        <is>
          <t>•  Home / residential address, age/date of birth, and personal (non-work) phone or email are deliberately excluded.</t>
        </is>
      </c>
    </row>
    <row r="21">
      <c r="B21" s="4" t="inlineStr">
        <is>
          <t>•  Age: recording candidates' ages exposes the firm to age-discrimination (ADEA) claims — it has no legitimate role in sourcing.</t>
        </is>
      </c>
    </row>
    <row r="22">
      <c r="B22" s="4" t="inlineStr">
        <is>
          <t>•  Home address + personal contact: aggregating these on a roster of named private individuals is a privacy/safety risk, not a recruiting need.</t>
        </is>
      </c>
    </row>
    <row r="23">
      <c r="B23" s="4" t="inlineStr">
        <is>
          <t>•  Reach candidates through LinkedIn and published professional channels — the same way the Delaware pipeline worked.</t>
        </is>
      </c>
    </row>
    <row r="25" ht="22" customHeight="1">
      <c r="B25" s="3" t="inlineStr">
        <is>
          <t>5.  Before You Start</t>
        </is>
      </c>
    </row>
    <row r="26">
      <c r="B26" s="4" t="inlineStr">
        <is>
          <t>•  Rows 2–3 of Candidates are illustrative samples. Delete them before entering real data.</t>
        </is>
      </c>
    </row>
  </sheetData>
  <mergeCells count="21">
    <mergeCell ref="B16:C16"/>
    <mergeCell ref="B7:C7"/>
    <mergeCell ref="B25:C25"/>
    <mergeCell ref="B22:C22"/>
    <mergeCell ref="B12:C12"/>
    <mergeCell ref="B21:C21"/>
    <mergeCell ref="B2:C2"/>
    <mergeCell ref="B11:C11"/>
    <mergeCell ref="B23:C23"/>
    <mergeCell ref="B14:C14"/>
    <mergeCell ref="B17:C17"/>
    <mergeCell ref="B1:C1"/>
    <mergeCell ref="B8:C8"/>
    <mergeCell ref="B13:C13"/>
    <mergeCell ref="B19:C19"/>
    <mergeCell ref="B10:C10"/>
    <mergeCell ref="B6:C6"/>
    <mergeCell ref="B5:C5"/>
    <mergeCell ref="B20:C20"/>
    <mergeCell ref="B26:C2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8" customWidth="1" min="3" max="3"/>
    <col width="16" customWidth="1" min="4" max="4"/>
    <col width="16" customWidth="1" min="5" max="5"/>
    <col width="12" customWidth="1" min="6" max="6"/>
    <col width="14" customWidth="1" min="7" max="7"/>
    <col width="18" customWidth="1" min="8" max="8"/>
    <col width="26" customWidth="1" min="9" max="9"/>
    <col width="30" customWidth="1" min="10" max="10"/>
    <col width="30" customWidth="1" min="11" max="11"/>
    <col width="16" customWidth="1" min="12" max="12"/>
    <col width="16" customWidth="1" min="13" max="13"/>
    <col width="15" customWidth="1" min="14" max="14"/>
    <col width="34" customWidth="1" min="15" max="15"/>
  </cols>
  <sheetData>
    <row r="1" ht="42" customHeight="1">
      <c r="A1" s="5" t="inlineStr">
        <is>
          <t>Name</t>
        </is>
      </c>
      <c r="B1" s="5" t="inlineStr">
        <is>
          <t>Credential</t>
        </is>
      </c>
      <c r="C1" s="5" t="inlineStr">
        <is>
          <t>State</t>
        </is>
      </c>
      <c r="D1" s="5" t="inlineStr">
        <is>
          <t>License / Cert #</t>
        </is>
      </c>
      <c r="E1" s="5" t="inlineStr">
        <is>
          <t>License / Cert Issue Date</t>
        </is>
      </c>
      <c r="F1" s="6" t="inlineStr">
        <is>
          <t>Years Licensed</t>
        </is>
      </c>
      <c r="G1" s="5" t="inlineStr">
        <is>
          <t>License Status</t>
        </is>
      </c>
      <c r="H1" s="5" t="inlineStr">
        <is>
          <t>City</t>
        </is>
      </c>
      <c r="I1" s="5" t="inlineStr">
        <is>
          <t>Public Employer / Clinic</t>
        </is>
      </c>
      <c r="J1" s="5" t="inlineStr">
        <is>
          <t>LinkedIn URL</t>
        </is>
      </c>
      <c r="K1" s="5" t="inlineStr">
        <is>
          <t>Professional Contact (public office/work only)</t>
        </is>
      </c>
      <c r="L1" s="5" t="inlineStr">
        <is>
          <t>Source Verified</t>
        </is>
      </c>
      <c r="M1" s="5" t="inlineStr">
        <is>
          <t>Outreach Status</t>
        </is>
      </c>
      <c r="N1" s="5" t="inlineStr">
        <is>
          <t>Last Contact Date</t>
        </is>
      </c>
      <c r="O1" s="5" t="inlineStr">
        <is>
          <t>Notes</t>
        </is>
      </c>
    </row>
    <row r="2">
      <c r="A2" s="7" t="inlineStr">
        <is>
          <t>Sample Candidate — delete</t>
        </is>
      </c>
      <c r="B2" s="8" t="inlineStr">
        <is>
          <t>BCBA</t>
        </is>
      </c>
      <c r="C2" s="8" t="inlineStr">
        <is>
          <t>NC</t>
        </is>
      </c>
      <c r="D2" s="8" t="inlineStr">
        <is>
          <t>1-00-0000</t>
        </is>
      </c>
      <c r="E2" s="9" t="n">
        <v>43252</v>
      </c>
      <c r="F2" s="10">
        <f>IF($E2="","",DATEDIF($E2,TODAY(),"Y"))</f>
        <v/>
      </c>
      <c r="G2" s="8" t="inlineStr">
        <is>
          <t>Active</t>
        </is>
      </c>
      <c r="H2" s="8" t="inlineStr">
        <is>
          <t>Raleigh</t>
        </is>
      </c>
      <c r="I2" s="7" t="inlineStr">
        <is>
          <t>Example ABA Group</t>
        </is>
      </c>
      <c r="J2" s="7" t="inlineStr"/>
      <c r="K2" s="7" t="inlineStr"/>
      <c r="L2" s="8" t="inlineStr">
        <is>
          <t>BACB Registry</t>
        </is>
      </c>
      <c r="M2" s="8" t="inlineStr">
        <is>
          <t>Not Contacted</t>
        </is>
      </c>
      <c r="N2" s="9" t="n"/>
      <c r="O2" s="7" t="inlineStr">
        <is>
          <t>Illustrative row showing how to fill the sheet — delete before use.</t>
        </is>
      </c>
    </row>
    <row r="3">
      <c r="A3" s="7" t="inlineStr">
        <is>
          <t>Sample Candidate — delete</t>
        </is>
      </c>
      <c r="B3" s="8" t="inlineStr">
        <is>
          <t>LBA (state license)</t>
        </is>
      </c>
      <c r="C3" s="8" t="inlineStr">
        <is>
          <t>MD</t>
        </is>
      </c>
      <c r="D3" s="8" t="inlineStr">
        <is>
          <t>LBA-0000</t>
        </is>
      </c>
      <c r="E3" s="9" t="n">
        <v>44454</v>
      </c>
      <c r="F3" s="10">
        <f>IF($E3="","",DATEDIF($E3,TODAY(),"Y"))</f>
        <v/>
      </c>
      <c r="G3" s="8" t="inlineStr">
        <is>
          <t>Active</t>
        </is>
      </c>
      <c r="H3" s="8" t="inlineStr">
        <is>
          <t>Baltimore</t>
        </is>
      </c>
      <c r="I3" s="7" t="inlineStr">
        <is>
          <t>Example Behavioral Health</t>
        </is>
      </c>
      <c r="J3" s="7" t="inlineStr"/>
      <c r="K3" s="7" t="inlineStr"/>
      <c r="L3" s="8" t="inlineStr">
        <is>
          <t>MD Board (BOPC)</t>
        </is>
      </c>
      <c r="M3" s="8" t="inlineStr">
        <is>
          <t>Not Contacted</t>
        </is>
      </c>
      <c r="N3" s="9" t="n"/>
      <c r="O3" s="7" t="inlineStr">
        <is>
          <t>Illustrative row showing how to fill the sheet — delete before use.</t>
        </is>
      </c>
    </row>
    <row r="4">
      <c r="E4" s="11" t="n"/>
      <c r="F4" s="12">
        <f>IF($E4="","",DATEDIF($E4,TODAY(),"Y"))</f>
        <v/>
      </c>
      <c r="N4" s="11" t="n"/>
    </row>
    <row r="5">
      <c r="E5" s="11" t="n"/>
      <c r="F5" s="12">
        <f>IF($E5="","",DATEDIF($E5,TODAY(),"Y"))</f>
        <v/>
      </c>
      <c r="N5" s="11" t="n"/>
    </row>
    <row r="6">
      <c r="E6" s="11" t="n"/>
      <c r="F6" s="12">
        <f>IF($E6="","",DATEDIF($E6,TODAY(),"Y"))</f>
        <v/>
      </c>
      <c r="N6" s="11" t="n"/>
    </row>
    <row r="7">
      <c r="E7" s="11" t="n"/>
      <c r="F7" s="12">
        <f>IF($E7="","",DATEDIF($E7,TODAY(),"Y"))</f>
        <v/>
      </c>
      <c r="N7" s="11" t="n"/>
    </row>
    <row r="8">
      <c r="E8" s="11" t="n"/>
      <c r="F8" s="12">
        <f>IF($E8="","",DATEDIF($E8,TODAY(),"Y"))</f>
        <v/>
      </c>
      <c r="N8" s="11" t="n"/>
    </row>
    <row r="9">
      <c r="E9" s="11" t="n"/>
      <c r="F9" s="12">
        <f>IF($E9="","",DATEDIF($E9,TODAY(),"Y"))</f>
        <v/>
      </c>
      <c r="N9" s="11" t="n"/>
    </row>
    <row r="10">
      <c r="E10" s="11" t="n"/>
      <c r="F10" s="12">
        <f>IF($E10="","",DATEDIF($E10,TODAY(),"Y"))</f>
        <v/>
      </c>
      <c r="N10" s="11" t="n"/>
    </row>
    <row r="11">
      <c r="E11" s="11" t="n"/>
      <c r="F11" s="12">
        <f>IF($E11="","",DATEDIF($E11,TODAY(),"Y"))</f>
        <v/>
      </c>
      <c r="N11" s="11" t="n"/>
    </row>
    <row r="12">
      <c r="E12" s="11" t="n"/>
      <c r="F12" s="12">
        <f>IF($E12="","",DATEDIF($E12,TODAY(),"Y"))</f>
        <v/>
      </c>
      <c r="N12" s="11" t="n"/>
    </row>
    <row r="13">
      <c r="E13" s="11" t="n"/>
      <c r="F13" s="12">
        <f>IF($E13="","",DATEDIF($E13,TODAY(),"Y"))</f>
        <v/>
      </c>
      <c r="N13" s="11" t="n"/>
    </row>
    <row r="14">
      <c r="E14" s="11" t="n"/>
      <c r="F14" s="12">
        <f>IF($E14="","",DATEDIF($E14,TODAY(),"Y"))</f>
        <v/>
      </c>
      <c r="N14" s="11" t="n"/>
    </row>
    <row r="15">
      <c r="E15" s="11" t="n"/>
      <c r="F15" s="12">
        <f>IF($E15="","",DATEDIF($E15,TODAY(),"Y"))</f>
        <v/>
      </c>
      <c r="N15" s="11" t="n"/>
    </row>
    <row r="16">
      <c r="E16" s="11" t="n"/>
      <c r="F16" s="12">
        <f>IF($E16="","",DATEDIF($E16,TODAY(),"Y"))</f>
        <v/>
      </c>
      <c r="N16" s="11" t="n"/>
    </row>
    <row r="17">
      <c r="E17" s="11" t="n"/>
      <c r="F17" s="12">
        <f>IF($E17="","",DATEDIF($E17,TODAY(),"Y"))</f>
        <v/>
      </c>
      <c r="N17" s="11" t="n"/>
    </row>
    <row r="18">
      <c r="E18" s="11" t="n"/>
      <c r="F18" s="12">
        <f>IF($E18="","",DATEDIF($E18,TODAY(),"Y"))</f>
        <v/>
      </c>
      <c r="N18" s="11" t="n"/>
    </row>
    <row r="19">
      <c r="E19" s="11" t="n"/>
      <c r="F19" s="12">
        <f>IF($E19="","",DATEDIF($E19,TODAY(),"Y"))</f>
        <v/>
      </c>
      <c r="N19" s="11" t="n"/>
    </row>
    <row r="20">
      <c r="E20" s="11" t="n"/>
      <c r="F20" s="12">
        <f>IF($E20="","",DATEDIF($E20,TODAY(),"Y"))</f>
        <v/>
      </c>
      <c r="N20" s="11" t="n"/>
    </row>
    <row r="21">
      <c r="E21" s="11" t="n"/>
      <c r="F21" s="12">
        <f>IF($E21="","",DATEDIF($E21,TODAY(),"Y"))</f>
        <v/>
      </c>
      <c r="N21" s="11" t="n"/>
    </row>
    <row r="22">
      <c r="E22" s="11" t="n"/>
      <c r="F22" s="12">
        <f>IF($E22="","",DATEDIF($E22,TODAY(),"Y"))</f>
        <v/>
      </c>
      <c r="N22" s="11" t="n"/>
    </row>
    <row r="23">
      <c r="E23" s="11" t="n"/>
      <c r="F23" s="12">
        <f>IF($E23="","",DATEDIF($E23,TODAY(),"Y"))</f>
        <v/>
      </c>
      <c r="N23" s="11" t="n"/>
    </row>
    <row r="24">
      <c r="E24" s="11" t="n"/>
      <c r="F24" s="12">
        <f>IF($E24="","",DATEDIF($E24,TODAY(),"Y"))</f>
        <v/>
      </c>
      <c r="N24" s="11" t="n"/>
    </row>
    <row r="25">
      <c r="E25" s="11" t="n"/>
      <c r="F25" s="12">
        <f>IF($E25="","",DATEDIF($E25,TODAY(),"Y"))</f>
        <v/>
      </c>
      <c r="N25" s="11" t="n"/>
    </row>
    <row r="26">
      <c r="E26" s="11" t="n"/>
      <c r="F26" s="12">
        <f>IF($E26="","",DATEDIF($E26,TODAY(),"Y"))</f>
        <v/>
      </c>
      <c r="N26" s="11" t="n"/>
    </row>
    <row r="27">
      <c r="E27" s="11" t="n"/>
      <c r="F27" s="12">
        <f>IF($E27="","",DATEDIF($E27,TODAY(),"Y"))</f>
        <v/>
      </c>
      <c r="N27" s="11" t="n"/>
    </row>
    <row r="28">
      <c r="E28" s="11" t="n"/>
      <c r="F28" s="12">
        <f>IF($E28="","",DATEDIF($E28,TODAY(),"Y"))</f>
        <v/>
      </c>
      <c r="N28" s="11" t="n"/>
    </row>
    <row r="29">
      <c r="E29" s="11" t="n"/>
      <c r="F29" s="12">
        <f>IF($E29="","",DATEDIF($E29,TODAY(),"Y"))</f>
        <v/>
      </c>
      <c r="N29" s="11" t="n"/>
    </row>
    <row r="30">
      <c r="E30" s="11" t="n"/>
      <c r="F30" s="12">
        <f>IF($E30="","",DATEDIF($E30,TODAY(),"Y"))</f>
        <v/>
      </c>
      <c r="N30" s="11" t="n"/>
    </row>
    <row r="31">
      <c r="E31" s="11" t="n"/>
      <c r="F31" s="12">
        <f>IF($E31="","",DATEDIF($E31,TODAY(),"Y"))</f>
        <v/>
      </c>
      <c r="N31" s="11" t="n"/>
    </row>
    <row r="32">
      <c r="E32" s="11" t="n"/>
      <c r="F32" s="12">
        <f>IF($E32="","",DATEDIF($E32,TODAY(),"Y"))</f>
        <v/>
      </c>
      <c r="N32" s="11" t="n"/>
    </row>
    <row r="33">
      <c r="E33" s="11" t="n"/>
      <c r="F33" s="12">
        <f>IF($E33="","",DATEDIF($E33,TODAY(),"Y"))</f>
        <v/>
      </c>
      <c r="N33" s="11" t="n"/>
    </row>
    <row r="34">
      <c r="E34" s="11" t="n"/>
      <c r="F34" s="12">
        <f>IF($E34="","",DATEDIF($E34,TODAY(),"Y"))</f>
        <v/>
      </c>
      <c r="N34" s="11" t="n"/>
    </row>
    <row r="35">
      <c r="E35" s="11" t="n"/>
      <c r="F35" s="12">
        <f>IF($E35="","",DATEDIF($E35,TODAY(),"Y"))</f>
        <v/>
      </c>
      <c r="N35" s="11" t="n"/>
    </row>
    <row r="36">
      <c r="E36" s="11" t="n"/>
      <c r="F36" s="12">
        <f>IF($E36="","",DATEDIF($E36,TODAY(),"Y"))</f>
        <v/>
      </c>
      <c r="N36" s="11" t="n"/>
    </row>
    <row r="37">
      <c r="E37" s="11" t="n"/>
      <c r="F37" s="12">
        <f>IF($E37="","",DATEDIF($E37,TODAY(),"Y"))</f>
        <v/>
      </c>
      <c r="N37" s="11" t="n"/>
    </row>
    <row r="38">
      <c r="E38" s="11" t="n"/>
      <c r="F38" s="12">
        <f>IF($E38="","",DATEDIF($E38,TODAY(),"Y"))</f>
        <v/>
      </c>
      <c r="N38" s="11" t="n"/>
    </row>
    <row r="39">
      <c r="E39" s="11" t="n"/>
      <c r="F39" s="12">
        <f>IF($E39="","",DATEDIF($E39,TODAY(),"Y"))</f>
        <v/>
      </c>
      <c r="N39" s="11" t="n"/>
    </row>
    <row r="40">
      <c r="E40" s="11" t="n"/>
      <c r="F40" s="12">
        <f>IF($E40="","",DATEDIF($E40,TODAY(),"Y"))</f>
        <v/>
      </c>
      <c r="N40" s="11" t="n"/>
    </row>
    <row r="41">
      <c r="E41" s="11" t="n"/>
      <c r="F41" s="12">
        <f>IF($E41="","",DATEDIF($E41,TODAY(),"Y"))</f>
        <v/>
      </c>
      <c r="N41" s="11" t="n"/>
    </row>
    <row r="42">
      <c r="E42" s="11" t="n"/>
      <c r="F42" s="12">
        <f>IF($E42="","",DATEDIF($E42,TODAY(),"Y"))</f>
        <v/>
      </c>
      <c r="N42" s="11" t="n"/>
    </row>
    <row r="43">
      <c r="E43" s="11" t="n"/>
      <c r="F43" s="12">
        <f>IF($E43="","",DATEDIF($E43,TODAY(),"Y"))</f>
        <v/>
      </c>
      <c r="N43" s="11" t="n"/>
    </row>
    <row r="44">
      <c r="E44" s="11" t="n"/>
      <c r="F44" s="12">
        <f>IF($E44="","",DATEDIF($E44,TODAY(),"Y"))</f>
        <v/>
      </c>
      <c r="N44" s="11" t="n"/>
    </row>
    <row r="45">
      <c r="E45" s="11" t="n"/>
      <c r="F45" s="12">
        <f>IF($E45="","",DATEDIF($E45,TODAY(),"Y"))</f>
        <v/>
      </c>
      <c r="N45" s="11" t="n"/>
    </row>
    <row r="46">
      <c r="E46" s="11" t="n"/>
      <c r="F46" s="12">
        <f>IF($E46="","",DATEDIF($E46,TODAY(),"Y"))</f>
        <v/>
      </c>
      <c r="N46" s="11" t="n"/>
    </row>
    <row r="47">
      <c r="E47" s="11" t="n"/>
      <c r="F47" s="12">
        <f>IF($E47="","",DATEDIF($E47,TODAY(),"Y"))</f>
        <v/>
      </c>
      <c r="N47" s="11" t="n"/>
    </row>
    <row r="48">
      <c r="E48" s="11" t="n"/>
      <c r="F48" s="12">
        <f>IF($E48="","",DATEDIF($E48,TODAY(),"Y"))</f>
        <v/>
      </c>
      <c r="N48" s="11" t="n"/>
    </row>
    <row r="49">
      <c r="E49" s="11" t="n"/>
      <c r="F49" s="12">
        <f>IF($E49="","",DATEDIF($E49,TODAY(),"Y"))</f>
        <v/>
      </c>
      <c r="N49" s="11" t="n"/>
    </row>
    <row r="50">
      <c r="E50" s="11" t="n"/>
      <c r="F50" s="12">
        <f>IF($E50="","",DATEDIF($E50,TODAY(),"Y"))</f>
        <v/>
      </c>
      <c r="N50" s="11" t="n"/>
    </row>
    <row r="51">
      <c r="E51" s="11" t="n"/>
      <c r="F51" s="12">
        <f>IF($E51="","",DATEDIF($E51,TODAY(),"Y"))</f>
        <v/>
      </c>
      <c r="N51" s="11" t="n"/>
    </row>
    <row r="52">
      <c r="E52" s="11" t="n"/>
      <c r="F52" s="12">
        <f>IF($E52="","",DATEDIF($E52,TODAY(),"Y"))</f>
        <v/>
      </c>
      <c r="N52" s="11" t="n"/>
    </row>
    <row r="53">
      <c r="E53" s="11" t="n"/>
      <c r="F53" s="12">
        <f>IF($E53="","",DATEDIF($E53,TODAY(),"Y"))</f>
        <v/>
      </c>
      <c r="N53" s="11" t="n"/>
    </row>
    <row r="54">
      <c r="E54" s="11" t="n"/>
      <c r="F54" s="12">
        <f>IF($E54="","",DATEDIF($E54,TODAY(),"Y"))</f>
        <v/>
      </c>
      <c r="N54" s="11" t="n"/>
    </row>
    <row r="55">
      <c r="E55" s="11" t="n"/>
      <c r="F55" s="12">
        <f>IF($E55="","",DATEDIF($E55,TODAY(),"Y"))</f>
        <v/>
      </c>
      <c r="N55" s="11" t="n"/>
    </row>
    <row r="56">
      <c r="E56" s="11" t="n"/>
      <c r="F56" s="12">
        <f>IF($E56="","",DATEDIF($E56,TODAY(),"Y"))</f>
        <v/>
      </c>
      <c r="N56" s="11" t="n"/>
    </row>
    <row r="57">
      <c r="E57" s="11" t="n"/>
      <c r="F57" s="12">
        <f>IF($E57="","",DATEDIF($E57,TODAY(),"Y"))</f>
        <v/>
      </c>
      <c r="N57" s="11" t="n"/>
    </row>
    <row r="58">
      <c r="E58" s="11" t="n"/>
      <c r="F58" s="12">
        <f>IF($E58="","",DATEDIF($E58,TODAY(),"Y"))</f>
        <v/>
      </c>
      <c r="N58" s="11" t="n"/>
    </row>
    <row r="59">
      <c r="E59" s="11" t="n"/>
      <c r="F59" s="12">
        <f>IF($E59="","",DATEDIF($E59,TODAY(),"Y"))</f>
        <v/>
      </c>
      <c r="N59" s="11" t="n"/>
    </row>
    <row r="60">
      <c r="E60" s="11" t="n"/>
      <c r="F60" s="12">
        <f>IF($E60="","",DATEDIF($E60,TODAY(),"Y"))</f>
        <v/>
      </c>
      <c r="N60" s="11" t="n"/>
    </row>
    <row r="61">
      <c r="E61" s="11" t="n"/>
      <c r="F61" s="12">
        <f>IF($E61="","",DATEDIF($E61,TODAY(),"Y"))</f>
        <v/>
      </c>
      <c r="N61" s="11" t="n"/>
    </row>
    <row r="62">
      <c r="E62" s="11" t="n"/>
      <c r="F62" s="12">
        <f>IF($E62="","",DATEDIF($E62,TODAY(),"Y"))</f>
        <v/>
      </c>
      <c r="N62" s="11" t="n"/>
    </row>
    <row r="63">
      <c r="E63" s="11" t="n"/>
      <c r="F63" s="12">
        <f>IF($E63="","",DATEDIF($E63,TODAY(),"Y"))</f>
        <v/>
      </c>
      <c r="N63" s="11" t="n"/>
    </row>
    <row r="64">
      <c r="E64" s="11" t="n"/>
      <c r="F64" s="12">
        <f>IF($E64="","",DATEDIF($E64,TODAY(),"Y"))</f>
        <v/>
      </c>
      <c r="N64" s="11" t="n"/>
    </row>
    <row r="65">
      <c r="E65" s="11" t="n"/>
      <c r="F65" s="12">
        <f>IF($E65="","",DATEDIF($E65,TODAY(),"Y"))</f>
        <v/>
      </c>
      <c r="N65" s="11" t="n"/>
    </row>
    <row r="66">
      <c r="E66" s="11" t="n"/>
      <c r="F66" s="12">
        <f>IF($E66="","",DATEDIF($E66,TODAY(),"Y"))</f>
        <v/>
      </c>
      <c r="N66" s="11" t="n"/>
    </row>
    <row r="67">
      <c r="E67" s="11" t="n"/>
      <c r="F67" s="12">
        <f>IF($E67="","",DATEDIF($E67,TODAY(),"Y"))</f>
        <v/>
      </c>
      <c r="N67" s="11" t="n"/>
    </row>
    <row r="68">
      <c r="E68" s="11" t="n"/>
      <c r="F68" s="12">
        <f>IF($E68="","",DATEDIF($E68,TODAY(),"Y"))</f>
        <v/>
      </c>
      <c r="N68" s="11" t="n"/>
    </row>
    <row r="69">
      <c r="E69" s="11" t="n"/>
      <c r="F69" s="12">
        <f>IF($E69="","",DATEDIF($E69,TODAY(),"Y"))</f>
        <v/>
      </c>
      <c r="N69" s="11" t="n"/>
    </row>
    <row r="70">
      <c r="E70" s="11" t="n"/>
      <c r="F70" s="12">
        <f>IF($E70="","",DATEDIF($E70,TODAY(),"Y"))</f>
        <v/>
      </c>
      <c r="N70" s="11" t="n"/>
    </row>
    <row r="71">
      <c r="E71" s="11" t="n"/>
      <c r="F71" s="12">
        <f>IF($E71="","",DATEDIF($E71,TODAY(),"Y"))</f>
        <v/>
      </c>
      <c r="N71" s="11" t="n"/>
    </row>
    <row r="72">
      <c r="E72" s="11" t="n"/>
      <c r="F72" s="12">
        <f>IF($E72="","",DATEDIF($E72,TODAY(),"Y"))</f>
        <v/>
      </c>
      <c r="N72" s="11" t="n"/>
    </row>
    <row r="73">
      <c r="E73" s="11" t="n"/>
      <c r="F73" s="12">
        <f>IF($E73="","",DATEDIF($E73,TODAY(),"Y"))</f>
        <v/>
      </c>
      <c r="N73" s="11" t="n"/>
    </row>
    <row r="74">
      <c r="E74" s="11" t="n"/>
      <c r="F74" s="12">
        <f>IF($E74="","",DATEDIF($E74,TODAY(),"Y"))</f>
        <v/>
      </c>
      <c r="N74" s="11" t="n"/>
    </row>
    <row r="75">
      <c r="E75" s="11" t="n"/>
      <c r="F75" s="12">
        <f>IF($E75="","",DATEDIF($E75,TODAY(),"Y"))</f>
        <v/>
      </c>
      <c r="N75" s="11" t="n"/>
    </row>
    <row r="76">
      <c r="E76" s="11" t="n"/>
      <c r="F76" s="12">
        <f>IF($E76="","",DATEDIF($E76,TODAY(),"Y"))</f>
        <v/>
      </c>
      <c r="N76" s="11" t="n"/>
    </row>
    <row r="77">
      <c r="E77" s="11" t="n"/>
      <c r="F77" s="12">
        <f>IF($E77="","",DATEDIF($E77,TODAY(),"Y"))</f>
        <v/>
      </c>
      <c r="N77" s="11" t="n"/>
    </row>
    <row r="78">
      <c r="E78" s="11" t="n"/>
      <c r="F78" s="12">
        <f>IF($E78="","",DATEDIF($E78,TODAY(),"Y"))</f>
        <v/>
      </c>
      <c r="N78" s="11" t="n"/>
    </row>
    <row r="79">
      <c r="E79" s="11" t="n"/>
      <c r="F79" s="12">
        <f>IF($E79="","",DATEDIF($E79,TODAY(),"Y"))</f>
        <v/>
      </c>
      <c r="N79" s="11" t="n"/>
    </row>
    <row r="80">
      <c r="E80" s="11" t="n"/>
      <c r="F80" s="12">
        <f>IF($E80="","",DATEDIF($E80,TODAY(),"Y"))</f>
        <v/>
      </c>
      <c r="N80" s="11" t="n"/>
    </row>
    <row r="81">
      <c r="E81" s="11" t="n"/>
      <c r="F81" s="12">
        <f>IF($E81="","",DATEDIF($E81,TODAY(),"Y"))</f>
        <v/>
      </c>
      <c r="N81" s="11" t="n"/>
    </row>
    <row r="82">
      <c r="E82" s="11" t="n"/>
      <c r="F82" s="12">
        <f>IF($E82="","",DATEDIF($E82,TODAY(),"Y"))</f>
        <v/>
      </c>
      <c r="N82" s="11" t="n"/>
    </row>
    <row r="83">
      <c r="E83" s="11" t="n"/>
      <c r="F83" s="12">
        <f>IF($E83="","",DATEDIF($E83,TODAY(),"Y"))</f>
        <v/>
      </c>
      <c r="N83" s="11" t="n"/>
    </row>
    <row r="84">
      <c r="E84" s="11" t="n"/>
      <c r="F84" s="12">
        <f>IF($E84="","",DATEDIF($E84,TODAY(),"Y"))</f>
        <v/>
      </c>
      <c r="N84" s="11" t="n"/>
    </row>
    <row r="85">
      <c r="E85" s="11" t="n"/>
      <c r="F85" s="12">
        <f>IF($E85="","",DATEDIF($E85,TODAY(),"Y"))</f>
        <v/>
      </c>
      <c r="N85" s="11" t="n"/>
    </row>
    <row r="86">
      <c r="E86" s="11" t="n"/>
      <c r="F86" s="12">
        <f>IF($E86="","",DATEDIF($E86,TODAY(),"Y"))</f>
        <v/>
      </c>
      <c r="N86" s="11" t="n"/>
    </row>
    <row r="87">
      <c r="E87" s="11" t="n"/>
      <c r="F87" s="12">
        <f>IF($E87="","",DATEDIF($E87,TODAY(),"Y"))</f>
        <v/>
      </c>
      <c r="N87" s="11" t="n"/>
    </row>
    <row r="88">
      <c r="E88" s="11" t="n"/>
      <c r="F88" s="12">
        <f>IF($E88="","",DATEDIF($E88,TODAY(),"Y"))</f>
        <v/>
      </c>
      <c r="N88" s="11" t="n"/>
    </row>
    <row r="89">
      <c r="E89" s="11" t="n"/>
      <c r="F89" s="12">
        <f>IF($E89="","",DATEDIF($E89,TODAY(),"Y"))</f>
        <v/>
      </c>
      <c r="N89" s="11" t="n"/>
    </row>
    <row r="90">
      <c r="E90" s="11" t="n"/>
      <c r="F90" s="12">
        <f>IF($E90="","",DATEDIF($E90,TODAY(),"Y"))</f>
        <v/>
      </c>
      <c r="N90" s="11" t="n"/>
    </row>
    <row r="91">
      <c r="E91" s="11" t="n"/>
      <c r="F91" s="12">
        <f>IF($E91="","",DATEDIF($E91,TODAY(),"Y"))</f>
        <v/>
      </c>
      <c r="N91" s="11" t="n"/>
    </row>
    <row r="92">
      <c r="E92" s="11" t="n"/>
      <c r="F92" s="12">
        <f>IF($E92="","",DATEDIF($E92,TODAY(),"Y"))</f>
        <v/>
      </c>
      <c r="N92" s="11" t="n"/>
    </row>
    <row r="93">
      <c r="E93" s="11" t="n"/>
      <c r="F93" s="12">
        <f>IF($E93="","",DATEDIF($E93,TODAY(),"Y"))</f>
        <v/>
      </c>
      <c r="N93" s="11" t="n"/>
    </row>
    <row r="94">
      <c r="E94" s="11" t="n"/>
      <c r="F94" s="12">
        <f>IF($E94="","",DATEDIF($E94,TODAY(),"Y"))</f>
        <v/>
      </c>
      <c r="N94" s="11" t="n"/>
    </row>
    <row r="95">
      <c r="E95" s="11" t="n"/>
      <c r="F95" s="12">
        <f>IF($E95="","",DATEDIF($E95,TODAY(),"Y"))</f>
        <v/>
      </c>
      <c r="N95" s="11" t="n"/>
    </row>
    <row r="96">
      <c r="E96" s="11" t="n"/>
      <c r="F96" s="12">
        <f>IF($E96="","",DATEDIF($E96,TODAY(),"Y"))</f>
        <v/>
      </c>
      <c r="N96" s="11" t="n"/>
    </row>
    <row r="97">
      <c r="E97" s="11" t="n"/>
      <c r="F97" s="12">
        <f>IF($E97="","",DATEDIF($E97,TODAY(),"Y"))</f>
        <v/>
      </c>
      <c r="N97" s="11" t="n"/>
    </row>
    <row r="98">
      <c r="E98" s="11" t="n"/>
      <c r="F98" s="12">
        <f>IF($E98="","",DATEDIF($E98,TODAY(),"Y"))</f>
        <v/>
      </c>
      <c r="N98" s="11" t="n"/>
    </row>
    <row r="99">
      <c r="E99" s="11" t="n"/>
      <c r="F99" s="12">
        <f>IF($E99="","",DATEDIF($E99,TODAY(),"Y"))</f>
        <v/>
      </c>
      <c r="N99" s="11" t="n"/>
    </row>
    <row r="100">
      <c r="E100" s="11" t="n"/>
      <c r="F100" s="12">
        <f>IF($E100="","",DATEDIF($E100,TODAY(),"Y"))</f>
        <v/>
      </c>
      <c r="N100" s="11" t="n"/>
    </row>
    <row r="101">
      <c r="E101" s="11" t="n"/>
      <c r="F101" s="12">
        <f>IF($E101="","",DATEDIF($E101,TODAY(),"Y"))</f>
        <v/>
      </c>
      <c r="N101" s="11" t="n"/>
    </row>
    <row r="102">
      <c r="E102" s="11" t="n"/>
      <c r="F102" s="12">
        <f>IF($E102="","",DATEDIF($E102,TODAY(),"Y"))</f>
        <v/>
      </c>
      <c r="N102" s="11" t="n"/>
    </row>
    <row r="103">
      <c r="E103" s="11" t="n"/>
      <c r="F103" s="12">
        <f>IF($E103="","",DATEDIF($E103,TODAY(),"Y"))</f>
        <v/>
      </c>
      <c r="N103" s="11" t="n"/>
    </row>
    <row r="104">
      <c r="E104" s="11" t="n"/>
      <c r="F104" s="12">
        <f>IF($E104="","",DATEDIF($E104,TODAY(),"Y"))</f>
        <v/>
      </c>
      <c r="N104" s="11" t="n"/>
    </row>
    <row r="105">
      <c r="E105" s="11" t="n"/>
      <c r="F105" s="12">
        <f>IF($E105="","",DATEDIF($E105,TODAY(),"Y"))</f>
        <v/>
      </c>
      <c r="N105" s="11" t="n"/>
    </row>
    <row r="106">
      <c r="E106" s="11" t="n"/>
      <c r="F106" s="12">
        <f>IF($E106="","",DATEDIF($E106,TODAY(),"Y"))</f>
        <v/>
      </c>
      <c r="N106" s="11" t="n"/>
    </row>
    <row r="107">
      <c r="E107" s="11" t="n"/>
      <c r="F107" s="12">
        <f>IF($E107="","",DATEDIF($E107,TODAY(),"Y"))</f>
        <v/>
      </c>
      <c r="N107" s="11" t="n"/>
    </row>
    <row r="108">
      <c r="E108" s="11" t="n"/>
      <c r="F108" s="12">
        <f>IF($E108="","",DATEDIF($E108,TODAY(),"Y"))</f>
        <v/>
      </c>
      <c r="N108" s="11" t="n"/>
    </row>
    <row r="109">
      <c r="E109" s="11" t="n"/>
      <c r="F109" s="12">
        <f>IF($E109="","",DATEDIF($E109,TODAY(),"Y"))</f>
        <v/>
      </c>
      <c r="N109" s="11" t="n"/>
    </row>
    <row r="110">
      <c r="E110" s="11" t="n"/>
      <c r="F110" s="12">
        <f>IF($E110="","",DATEDIF($E110,TODAY(),"Y"))</f>
        <v/>
      </c>
      <c r="N110" s="11" t="n"/>
    </row>
    <row r="111">
      <c r="E111" s="11" t="n"/>
      <c r="F111" s="12">
        <f>IF($E111="","",DATEDIF($E111,TODAY(),"Y"))</f>
        <v/>
      </c>
      <c r="N111" s="11" t="n"/>
    </row>
    <row r="112">
      <c r="E112" s="11" t="n"/>
      <c r="F112" s="12">
        <f>IF($E112="","",DATEDIF($E112,TODAY(),"Y"))</f>
        <v/>
      </c>
      <c r="N112" s="11" t="n"/>
    </row>
    <row r="113">
      <c r="E113" s="11" t="n"/>
      <c r="F113" s="12">
        <f>IF($E113="","",DATEDIF($E113,TODAY(),"Y"))</f>
        <v/>
      </c>
      <c r="N113" s="11" t="n"/>
    </row>
    <row r="114">
      <c r="E114" s="11" t="n"/>
      <c r="F114" s="12">
        <f>IF($E114="","",DATEDIF($E114,TODAY(),"Y"))</f>
        <v/>
      </c>
      <c r="N114" s="11" t="n"/>
    </row>
    <row r="115">
      <c r="E115" s="11" t="n"/>
      <c r="F115" s="12">
        <f>IF($E115="","",DATEDIF($E115,TODAY(),"Y"))</f>
        <v/>
      </c>
      <c r="N115" s="11" t="n"/>
    </row>
    <row r="116">
      <c r="E116" s="11" t="n"/>
      <c r="F116" s="12">
        <f>IF($E116="","",DATEDIF($E116,TODAY(),"Y"))</f>
        <v/>
      </c>
      <c r="N116" s="11" t="n"/>
    </row>
    <row r="117">
      <c r="E117" s="11" t="n"/>
      <c r="F117" s="12">
        <f>IF($E117="","",DATEDIF($E117,TODAY(),"Y"))</f>
        <v/>
      </c>
      <c r="N117" s="11" t="n"/>
    </row>
    <row r="118">
      <c r="E118" s="11" t="n"/>
      <c r="F118" s="12">
        <f>IF($E118="","",DATEDIF($E118,TODAY(),"Y"))</f>
        <v/>
      </c>
      <c r="N118" s="11" t="n"/>
    </row>
    <row r="119">
      <c r="E119" s="11" t="n"/>
      <c r="F119" s="12">
        <f>IF($E119="","",DATEDIF($E119,TODAY(),"Y"))</f>
        <v/>
      </c>
      <c r="N119" s="11" t="n"/>
    </row>
    <row r="120">
      <c r="E120" s="11" t="n"/>
      <c r="F120" s="12">
        <f>IF($E120="","",DATEDIF($E120,TODAY(),"Y"))</f>
        <v/>
      </c>
      <c r="N120" s="11" t="n"/>
    </row>
    <row r="121">
      <c r="E121" s="11" t="n"/>
      <c r="F121" s="12">
        <f>IF($E121="","",DATEDIF($E121,TODAY(),"Y"))</f>
        <v/>
      </c>
      <c r="N121" s="11" t="n"/>
    </row>
    <row r="122">
      <c r="E122" s="11" t="n"/>
      <c r="F122" s="12">
        <f>IF($E122="","",DATEDIF($E122,TODAY(),"Y"))</f>
        <v/>
      </c>
      <c r="N122" s="11" t="n"/>
    </row>
    <row r="123">
      <c r="E123" s="11" t="n"/>
      <c r="F123" s="12">
        <f>IF($E123="","",DATEDIF($E123,TODAY(),"Y"))</f>
        <v/>
      </c>
      <c r="N123" s="11" t="n"/>
    </row>
    <row r="124">
      <c r="E124" s="11" t="n"/>
      <c r="F124" s="12">
        <f>IF($E124="","",DATEDIF($E124,TODAY(),"Y"))</f>
        <v/>
      </c>
      <c r="N124" s="11" t="n"/>
    </row>
    <row r="125">
      <c r="E125" s="11" t="n"/>
      <c r="F125" s="12">
        <f>IF($E125="","",DATEDIF($E125,TODAY(),"Y"))</f>
        <v/>
      </c>
      <c r="N125" s="11" t="n"/>
    </row>
    <row r="126">
      <c r="E126" s="11" t="n"/>
      <c r="F126" s="12">
        <f>IF($E126="","",DATEDIF($E126,TODAY(),"Y"))</f>
        <v/>
      </c>
      <c r="N126" s="11" t="n"/>
    </row>
    <row r="127">
      <c r="E127" s="11" t="n"/>
      <c r="F127" s="12">
        <f>IF($E127="","",DATEDIF($E127,TODAY(),"Y"))</f>
        <v/>
      </c>
      <c r="N127" s="11" t="n"/>
    </row>
    <row r="128">
      <c r="E128" s="11" t="n"/>
      <c r="F128" s="12">
        <f>IF($E128="","",DATEDIF($E128,TODAY(),"Y"))</f>
        <v/>
      </c>
      <c r="N128" s="11" t="n"/>
    </row>
    <row r="129">
      <c r="E129" s="11" t="n"/>
      <c r="F129" s="12">
        <f>IF($E129="","",DATEDIF($E129,TODAY(),"Y"))</f>
        <v/>
      </c>
      <c r="N129" s="11" t="n"/>
    </row>
    <row r="130">
      <c r="E130" s="11" t="n"/>
      <c r="F130" s="12">
        <f>IF($E130="","",DATEDIF($E130,TODAY(),"Y"))</f>
        <v/>
      </c>
      <c r="N130" s="11" t="n"/>
    </row>
    <row r="131">
      <c r="E131" s="11" t="n"/>
      <c r="F131" s="12">
        <f>IF($E131="","",DATEDIF($E131,TODAY(),"Y"))</f>
        <v/>
      </c>
      <c r="N131" s="11" t="n"/>
    </row>
    <row r="132">
      <c r="E132" s="11" t="n"/>
      <c r="F132" s="12">
        <f>IF($E132="","",DATEDIF($E132,TODAY(),"Y"))</f>
        <v/>
      </c>
      <c r="N132" s="11" t="n"/>
    </row>
    <row r="133">
      <c r="E133" s="11" t="n"/>
      <c r="F133" s="12">
        <f>IF($E133="","",DATEDIF($E133,TODAY(),"Y"))</f>
        <v/>
      </c>
      <c r="N133" s="11" t="n"/>
    </row>
    <row r="134">
      <c r="E134" s="11" t="n"/>
      <c r="F134" s="12">
        <f>IF($E134="","",DATEDIF($E134,TODAY(),"Y"))</f>
        <v/>
      </c>
      <c r="N134" s="11" t="n"/>
    </row>
    <row r="135">
      <c r="E135" s="11" t="n"/>
      <c r="F135" s="12">
        <f>IF($E135="","",DATEDIF($E135,TODAY(),"Y"))</f>
        <v/>
      </c>
      <c r="N135" s="11" t="n"/>
    </row>
    <row r="136">
      <c r="E136" s="11" t="n"/>
      <c r="F136" s="12">
        <f>IF($E136="","",DATEDIF($E136,TODAY(),"Y"))</f>
        <v/>
      </c>
      <c r="N136" s="11" t="n"/>
    </row>
    <row r="137">
      <c r="E137" s="11" t="n"/>
      <c r="F137" s="12">
        <f>IF($E137="","",DATEDIF($E137,TODAY(),"Y"))</f>
        <v/>
      </c>
      <c r="N137" s="11" t="n"/>
    </row>
    <row r="138">
      <c r="E138" s="11" t="n"/>
      <c r="F138" s="12">
        <f>IF($E138="","",DATEDIF($E138,TODAY(),"Y"))</f>
        <v/>
      </c>
      <c r="N138" s="11" t="n"/>
    </row>
    <row r="139">
      <c r="E139" s="11" t="n"/>
      <c r="F139" s="12">
        <f>IF($E139="","",DATEDIF($E139,TODAY(),"Y"))</f>
        <v/>
      </c>
      <c r="N139" s="11" t="n"/>
    </row>
    <row r="140">
      <c r="E140" s="11" t="n"/>
      <c r="F140" s="12">
        <f>IF($E140="","",DATEDIF($E140,TODAY(),"Y"))</f>
        <v/>
      </c>
      <c r="N140" s="11" t="n"/>
    </row>
    <row r="141">
      <c r="E141" s="11" t="n"/>
      <c r="F141" s="12">
        <f>IF($E141="","",DATEDIF($E141,TODAY(),"Y"))</f>
        <v/>
      </c>
      <c r="N141" s="11" t="n"/>
    </row>
    <row r="142">
      <c r="E142" s="11" t="n"/>
      <c r="F142" s="12">
        <f>IF($E142="","",DATEDIF($E142,TODAY(),"Y"))</f>
        <v/>
      </c>
      <c r="N142" s="11" t="n"/>
    </row>
    <row r="143">
      <c r="E143" s="11" t="n"/>
      <c r="F143" s="12">
        <f>IF($E143="","",DATEDIF($E143,TODAY(),"Y"))</f>
        <v/>
      </c>
      <c r="N143" s="11" t="n"/>
    </row>
    <row r="144">
      <c r="E144" s="11" t="n"/>
      <c r="F144" s="12">
        <f>IF($E144="","",DATEDIF($E144,TODAY(),"Y"))</f>
        <v/>
      </c>
      <c r="N144" s="11" t="n"/>
    </row>
    <row r="145">
      <c r="E145" s="11" t="n"/>
      <c r="F145" s="12">
        <f>IF($E145="","",DATEDIF($E145,TODAY(),"Y"))</f>
        <v/>
      </c>
      <c r="N145" s="11" t="n"/>
    </row>
    <row r="146">
      <c r="E146" s="11" t="n"/>
      <c r="F146" s="12">
        <f>IF($E146="","",DATEDIF($E146,TODAY(),"Y"))</f>
        <v/>
      </c>
      <c r="N146" s="11" t="n"/>
    </row>
    <row r="147">
      <c r="E147" s="11" t="n"/>
      <c r="F147" s="12">
        <f>IF($E147="","",DATEDIF($E147,TODAY(),"Y"))</f>
        <v/>
      </c>
      <c r="N147" s="11" t="n"/>
    </row>
    <row r="148">
      <c r="E148" s="11" t="n"/>
      <c r="F148" s="12">
        <f>IF($E148="","",DATEDIF($E148,TODAY(),"Y"))</f>
        <v/>
      </c>
      <c r="N148" s="11" t="n"/>
    </row>
    <row r="149">
      <c r="E149" s="11" t="n"/>
      <c r="F149" s="12">
        <f>IF($E149="","",DATEDIF($E149,TODAY(),"Y"))</f>
        <v/>
      </c>
      <c r="N149" s="11" t="n"/>
    </row>
    <row r="150">
      <c r="E150" s="11" t="n"/>
      <c r="F150" s="12">
        <f>IF($E150="","",DATEDIF($E150,TODAY(),"Y"))</f>
        <v/>
      </c>
      <c r="N150" s="11" t="n"/>
    </row>
    <row r="151">
      <c r="E151" s="11" t="n"/>
      <c r="F151" s="12">
        <f>IF($E151="","",DATEDIF($E151,TODAY(),"Y"))</f>
        <v/>
      </c>
      <c r="N151" s="11" t="n"/>
    </row>
    <row r="152">
      <c r="E152" s="11" t="n"/>
      <c r="F152" s="12">
        <f>IF($E152="","",DATEDIF($E152,TODAY(),"Y"))</f>
        <v/>
      </c>
      <c r="N152" s="11" t="n"/>
    </row>
    <row r="153">
      <c r="E153" s="11" t="n"/>
      <c r="F153" s="12">
        <f>IF($E153="","",DATEDIF($E153,TODAY(),"Y"))</f>
        <v/>
      </c>
      <c r="N153" s="11" t="n"/>
    </row>
    <row r="154">
      <c r="E154" s="11" t="n"/>
      <c r="F154" s="12">
        <f>IF($E154="","",DATEDIF($E154,TODAY(),"Y"))</f>
        <v/>
      </c>
      <c r="N154" s="11" t="n"/>
    </row>
    <row r="155">
      <c r="E155" s="11" t="n"/>
      <c r="F155" s="12">
        <f>IF($E155="","",DATEDIF($E155,TODAY(),"Y"))</f>
        <v/>
      </c>
      <c r="N155" s="11" t="n"/>
    </row>
    <row r="156">
      <c r="E156" s="11" t="n"/>
      <c r="F156" s="12">
        <f>IF($E156="","",DATEDIF($E156,TODAY(),"Y"))</f>
        <v/>
      </c>
      <c r="N156" s="11" t="n"/>
    </row>
    <row r="157">
      <c r="E157" s="11" t="n"/>
      <c r="F157" s="12">
        <f>IF($E157="","",DATEDIF($E157,TODAY(),"Y"))</f>
        <v/>
      </c>
      <c r="N157" s="11" t="n"/>
    </row>
    <row r="158">
      <c r="E158" s="11" t="n"/>
      <c r="F158" s="12">
        <f>IF($E158="","",DATEDIF($E158,TODAY(),"Y"))</f>
        <v/>
      </c>
      <c r="N158" s="11" t="n"/>
    </row>
    <row r="159">
      <c r="E159" s="11" t="n"/>
      <c r="F159" s="12">
        <f>IF($E159="","",DATEDIF($E159,TODAY(),"Y"))</f>
        <v/>
      </c>
      <c r="N159" s="11" t="n"/>
    </row>
    <row r="160">
      <c r="E160" s="11" t="n"/>
      <c r="F160" s="12">
        <f>IF($E160="","",DATEDIF($E160,TODAY(),"Y"))</f>
        <v/>
      </c>
      <c r="N160" s="11" t="n"/>
    </row>
    <row r="161">
      <c r="E161" s="11" t="n"/>
      <c r="F161" s="12">
        <f>IF($E161="","",DATEDIF($E161,TODAY(),"Y"))</f>
        <v/>
      </c>
      <c r="N161" s="11" t="n"/>
    </row>
    <row r="162">
      <c r="E162" s="11" t="n"/>
      <c r="F162" s="12">
        <f>IF($E162="","",DATEDIF($E162,TODAY(),"Y"))</f>
        <v/>
      </c>
      <c r="N162" s="11" t="n"/>
    </row>
    <row r="163">
      <c r="E163" s="11" t="n"/>
      <c r="F163" s="12">
        <f>IF($E163="","",DATEDIF($E163,TODAY(),"Y"))</f>
        <v/>
      </c>
      <c r="N163" s="11" t="n"/>
    </row>
    <row r="164">
      <c r="E164" s="11" t="n"/>
      <c r="F164" s="12">
        <f>IF($E164="","",DATEDIF($E164,TODAY(),"Y"))</f>
        <v/>
      </c>
      <c r="N164" s="11" t="n"/>
    </row>
    <row r="165">
      <c r="E165" s="11" t="n"/>
      <c r="F165" s="12">
        <f>IF($E165="","",DATEDIF($E165,TODAY(),"Y"))</f>
        <v/>
      </c>
      <c r="N165" s="11" t="n"/>
    </row>
    <row r="166">
      <c r="E166" s="11" t="n"/>
      <c r="F166" s="12">
        <f>IF($E166="","",DATEDIF($E166,TODAY(),"Y"))</f>
        <v/>
      </c>
      <c r="N166" s="11" t="n"/>
    </row>
    <row r="167">
      <c r="E167" s="11" t="n"/>
      <c r="F167" s="12">
        <f>IF($E167="","",DATEDIF($E167,TODAY(),"Y"))</f>
        <v/>
      </c>
      <c r="N167" s="11" t="n"/>
    </row>
    <row r="168">
      <c r="E168" s="11" t="n"/>
      <c r="F168" s="12">
        <f>IF($E168="","",DATEDIF($E168,TODAY(),"Y"))</f>
        <v/>
      </c>
      <c r="N168" s="11" t="n"/>
    </row>
    <row r="169">
      <c r="E169" s="11" t="n"/>
      <c r="F169" s="12">
        <f>IF($E169="","",DATEDIF($E169,TODAY(),"Y"))</f>
        <v/>
      </c>
      <c r="N169" s="11" t="n"/>
    </row>
    <row r="170">
      <c r="E170" s="11" t="n"/>
      <c r="F170" s="12">
        <f>IF($E170="","",DATEDIF($E170,TODAY(),"Y"))</f>
        <v/>
      </c>
      <c r="N170" s="11" t="n"/>
    </row>
    <row r="171">
      <c r="E171" s="11" t="n"/>
      <c r="F171" s="12">
        <f>IF($E171="","",DATEDIF($E171,TODAY(),"Y"))</f>
        <v/>
      </c>
      <c r="N171" s="11" t="n"/>
    </row>
    <row r="172">
      <c r="E172" s="11" t="n"/>
      <c r="F172" s="12">
        <f>IF($E172="","",DATEDIF($E172,TODAY(),"Y"))</f>
        <v/>
      </c>
      <c r="N172" s="11" t="n"/>
    </row>
    <row r="173">
      <c r="E173" s="11" t="n"/>
      <c r="F173" s="12">
        <f>IF($E173="","",DATEDIF($E173,TODAY(),"Y"))</f>
        <v/>
      </c>
      <c r="N173" s="11" t="n"/>
    </row>
    <row r="174">
      <c r="E174" s="11" t="n"/>
      <c r="F174" s="12">
        <f>IF($E174="","",DATEDIF($E174,TODAY(),"Y"))</f>
        <v/>
      </c>
      <c r="N174" s="11" t="n"/>
    </row>
    <row r="175">
      <c r="E175" s="11" t="n"/>
      <c r="F175" s="12">
        <f>IF($E175="","",DATEDIF($E175,TODAY(),"Y"))</f>
        <v/>
      </c>
      <c r="N175" s="11" t="n"/>
    </row>
    <row r="176">
      <c r="E176" s="11" t="n"/>
      <c r="F176" s="12">
        <f>IF($E176="","",DATEDIF($E176,TODAY(),"Y"))</f>
        <v/>
      </c>
      <c r="N176" s="11" t="n"/>
    </row>
    <row r="177">
      <c r="E177" s="11" t="n"/>
      <c r="F177" s="12">
        <f>IF($E177="","",DATEDIF($E177,TODAY(),"Y"))</f>
        <v/>
      </c>
      <c r="N177" s="11" t="n"/>
    </row>
    <row r="178">
      <c r="E178" s="11" t="n"/>
      <c r="F178" s="12">
        <f>IF($E178="","",DATEDIF($E178,TODAY(),"Y"))</f>
        <v/>
      </c>
      <c r="N178" s="11" t="n"/>
    </row>
    <row r="179">
      <c r="E179" s="11" t="n"/>
      <c r="F179" s="12">
        <f>IF($E179="","",DATEDIF($E179,TODAY(),"Y"))</f>
        <v/>
      </c>
      <c r="N179" s="11" t="n"/>
    </row>
    <row r="180">
      <c r="E180" s="11" t="n"/>
      <c r="F180" s="12">
        <f>IF($E180="","",DATEDIF($E180,TODAY(),"Y"))</f>
        <v/>
      </c>
      <c r="N180" s="11" t="n"/>
    </row>
    <row r="181">
      <c r="E181" s="11" t="n"/>
      <c r="F181" s="12">
        <f>IF($E181="","",DATEDIF($E181,TODAY(),"Y"))</f>
        <v/>
      </c>
      <c r="N181" s="11" t="n"/>
    </row>
    <row r="182">
      <c r="E182" s="11" t="n"/>
      <c r="F182" s="12">
        <f>IF($E182="","",DATEDIF($E182,TODAY(),"Y"))</f>
        <v/>
      </c>
      <c r="N182" s="11" t="n"/>
    </row>
    <row r="183">
      <c r="E183" s="11" t="n"/>
      <c r="F183" s="12">
        <f>IF($E183="","",DATEDIF($E183,TODAY(),"Y"))</f>
        <v/>
      </c>
      <c r="N183" s="11" t="n"/>
    </row>
    <row r="184">
      <c r="E184" s="11" t="n"/>
      <c r="F184" s="12">
        <f>IF($E184="","",DATEDIF($E184,TODAY(),"Y"))</f>
        <v/>
      </c>
      <c r="N184" s="11" t="n"/>
    </row>
    <row r="185">
      <c r="E185" s="11" t="n"/>
      <c r="F185" s="12">
        <f>IF($E185="","",DATEDIF($E185,TODAY(),"Y"))</f>
        <v/>
      </c>
      <c r="N185" s="11" t="n"/>
    </row>
    <row r="186">
      <c r="E186" s="11" t="n"/>
      <c r="F186" s="12">
        <f>IF($E186="","",DATEDIF($E186,TODAY(),"Y"))</f>
        <v/>
      </c>
      <c r="N186" s="11" t="n"/>
    </row>
    <row r="187">
      <c r="E187" s="11" t="n"/>
      <c r="F187" s="12">
        <f>IF($E187="","",DATEDIF($E187,TODAY(),"Y"))</f>
        <v/>
      </c>
      <c r="N187" s="11" t="n"/>
    </row>
    <row r="188">
      <c r="E188" s="11" t="n"/>
      <c r="F188" s="12">
        <f>IF($E188="","",DATEDIF($E188,TODAY(),"Y"))</f>
        <v/>
      </c>
      <c r="N188" s="11" t="n"/>
    </row>
    <row r="189">
      <c r="E189" s="11" t="n"/>
      <c r="F189" s="12">
        <f>IF($E189="","",DATEDIF($E189,TODAY(),"Y"))</f>
        <v/>
      </c>
      <c r="N189" s="11" t="n"/>
    </row>
    <row r="190">
      <c r="E190" s="11" t="n"/>
      <c r="F190" s="12">
        <f>IF($E190="","",DATEDIF($E190,TODAY(),"Y"))</f>
        <v/>
      </c>
      <c r="N190" s="11" t="n"/>
    </row>
    <row r="191">
      <c r="E191" s="11" t="n"/>
      <c r="F191" s="12">
        <f>IF($E191="","",DATEDIF($E191,TODAY(),"Y"))</f>
        <v/>
      </c>
      <c r="N191" s="11" t="n"/>
    </row>
    <row r="192">
      <c r="E192" s="11" t="n"/>
      <c r="F192" s="12">
        <f>IF($E192="","",DATEDIF($E192,TODAY(),"Y"))</f>
        <v/>
      </c>
      <c r="N192" s="11" t="n"/>
    </row>
    <row r="193">
      <c r="E193" s="11" t="n"/>
      <c r="F193" s="12">
        <f>IF($E193="","",DATEDIF($E193,TODAY(),"Y"))</f>
        <v/>
      </c>
      <c r="N193" s="11" t="n"/>
    </row>
    <row r="194">
      <c r="E194" s="11" t="n"/>
      <c r="F194" s="12">
        <f>IF($E194="","",DATEDIF($E194,TODAY(),"Y"))</f>
        <v/>
      </c>
      <c r="N194" s="11" t="n"/>
    </row>
    <row r="195">
      <c r="E195" s="11" t="n"/>
      <c r="F195" s="12">
        <f>IF($E195="","",DATEDIF($E195,TODAY(),"Y"))</f>
        <v/>
      </c>
      <c r="N195" s="11" t="n"/>
    </row>
    <row r="196">
      <c r="E196" s="11" t="n"/>
      <c r="F196" s="12">
        <f>IF($E196="","",DATEDIF($E196,TODAY(),"Y"))</f>
        <v/>
      </c>
      <c r="N196" s="11" t="n"/>
    </row>
    <row r="197">
      <c r="E197" s="11" t="n"/>
      <c r="F197" s="12">
        <f>IF($E197="","",DATEDIF($E197,TODAY(),"Y"))</f>
        <v/>
      </c>
      <c r="N197" s="11" t="n"/>
    </row>
    <row r="198">
      <c r="E198" s="11" t="n"/>
      <c r="F198" s="12">
        <f>IF($E198="","",DATEDIF($E198,TODAY(),"Y"))</f>
        <v/>
      </c>
      <c r="N198" s="11" t="n"/>
    </row>
    <row r="199">
      <c r="E199" s="11" t="n"/>
      <c r="F199" s="12">
        <f>IF($E199="","",DATEDIF($E199,TODAY(),"Y"))</f>
        <v/>
      </c>
      <c r="N199" s="11" t="n"/>
    </row>
    <row r="200">
      <c r="E200" s="11" t="n"/>
      <c r="F200" s="12">
        <f>IF($E200="","",DATEDIF($E200,TODAY(),"Y"))</f>
        <v/>
      </c>
      <c r="N200" s="11" t="n"/>
    </row>
    <row r="201">
      <c r="E201" s="11" t="n"/>
      <c r="F201" s="12">
        <f>IF($E201="","",DATEDIF($E201,TODAY(),"Y"))</f>
        <v/>
      </c>
      <c r="N201" s="11" t="n"/>
    </row>
    <row r="202">
      <c r="E202" s="11" t="n"/>
      <c r="F202" s="12">
        <f>IF($E202="","",DATEDIF($E202,TODAY(),"Y"))</f>
        <v/>
      </c>
      <c r="N202" s="11" t="n"/>
    </row>
    <row r="203">
      <c r="E203" s="11" t="n"/>
      <c r="F203" s="12">
        <f>IF($E203="","",DATEDIF($E203,TODAY(),"Y"))</f>
        <v/>
      </c>
      <c r="N203" s="11" t="n"/>
    </row>
    <row r="204">
      <c r="E204" s="11" t="n"/>
      <c r="F204" s="12">
        <f>IF($E204="","",DATEDIF($E204,TODAY(),"Y"))</f>
        <v/>
      </c>
      <c r="N204" s="11" t="n"/>
    </row>
    <row r="205">
      <c r="E205" s="11" t="n"/>
      <c r="F205" s="12">
        <f>IF($E205="","",DATEDIF($E205,TODAY(),"Y"))</f>
        <v/>
      </c>
      <c r="N205" s="11" t="n"/>
    </row>
    <row r="206">
      <c r="E206" s="11" t="n"/>
      <c r="F206" s="12">
        <f>IF($E206="","",DATEDIF($E206,TODAY(),"Y"))</f>
        <v/>
      </c>
      <c r="N206" s="11" t="n"/>
    </row>
    <row r="207">
      <c r="E207" s="11" t="n"/>
      <c r="F207" s="12">
        <f>IF($E207="","",DATEDIF($E207,TODAY(),"Y"))</f>
        <v/>
      </c>
      <c r="N207" s="11" t="n"/>
    </row>
    <row r="208">
      <c r="E208" s="11" t="n"/>
      <c r="F208" s="12">
        <f>IF($E208="","",DATEDIF($E208,TODAY(),"Y"))</f>
        <v/>
      </c>
      <c r="N208" s="11" t="n"/>
    </row>
    <row r="209">
      <c r="E209" s="11" t="n"/>
      <c r="F209" s="12">
        <f>IF($E209="","",DATEDIF($E209,TODAY(),"Y"))</f>
        <v/>
      </c>
      <c r="N209" s="11" t="n"/>
    </row>
    <row r="210">
      <c r="E210" s="11" t="n"/>
      <c r="F210" s="12">
        <f>IF($E210="","",DATEDIF($E210,TODAY(),"Y"))</f>
        <v/>
      </c>
      <c r="N210" s="11" t="n"/>
    </row>
    <row r="211">
      <c r="E211" s="11" t="n"/>
      <c r="F211" s="12">
        <f>IF($E211="","",DATEDIF($E211,TODAY(),"Y"))</f>
        <v/>
      </c>
      <c r="N211" s="11" t="n"/>
    </row>
    <row r="212">
      <c r="E212" s="11" t="n"/>
      <c r="F212" s="12">
        <f>IF($E212="","",DATEDIF($E212,TODAY(),"Y"))</f>
        <v/>
      </c>
      <c r="N212" s="11" t="n"/>
    </row>
    <row r="213">
      <c r="E213" s="11" t="n"/>
      <c r="F213" s="12">
        <f>IF($E213="","",DATEDIF($E213,TODAY(),"Y"))</f>
        <v/>
      </c>
      <c r="N213" s="11" t="n"/>
    </row>
    <row r="214">
      <c r="E214" s="11" t="n"/>
      <c r="F214" s="12">
        <f>IF($E214="","",DATEDIF($E214,TODAY(),"Y"))</f>
        <v/>
      </c>
      <c r="N214" s="11" t="n"/>
    </row>
    <row r="215">
      <c r="E215" s="11" t="n"/>
      <c r="F215" s="12">
        <f>IF($E215="","",DATEDIF($E215,TODAY(),"Y"))</f>
        <v/>
      </c>
      <c r="N215" s="11" t="n"/>
    </row>
    <row r="216">
      <c r="E216" s="11" t="n"/>
      <c r="F216" s="12">
        <f>IF($E216="","",DATEDIF($E216,TODAY(),"Y"))</f>
        <v/>
      </c>
      <c r="N216" s="11" t="n"/>
    </row>
    <row r="217">
      <c r="E217" s="11" t="n"/>
      <c r="F217" s="12">
        <f>IF($E217="","",DATEDIF($E217,TODAY(),"Y"))</f>
        <v/>
      </c>
      <c r="N217" s="11" t="n"/>
    </row>
    <row r="218">
      <c r="E218" s="11" t="n"/>
      <c r="F218" s="12">
        <f>IF($E218="","",DATEDIF($E218,TODAY(),"Y"))</f>
        <v/>
      </c>
      <c r="N218" s="11" t="n"/>
    </row>
    <row r="219">
      <c r="E219" s="11" t="n"/>
      <c r="F219" s="12">
        <f>IF($E219="","",DATEDIF($E219,TODAY(),"Y"))</f>
        <v/>
      </c>
      <c r="N219" s="11" t="n"/>
    </row>
    <row r="220">
      <c r="E220" s="11" t="n"/>
      <c r="F220" s="12">
        <f>IF($E220="","",DATEDIF($E220,TODAY(),"Y"))</f>
        <v/>
      </c>
      <c r="N220" s="11" t="n"/>
    </row>
    <row r="221">
      <c r="E221" s="11" t="n"/>
      <c r="F221" s="12">
        <f>IF($E221="","",DATEDIF($E221,TODAY(),"Y"))</f>
        <v/>
      </c>
      <c r="N221" s="11" t="n"/>
    </row>
    <row r="222">
      <c r="E222" s="11" t="n"/>
      <c r="F222" s="12">
        <f>IF($E222="","",DATEDIF($E222,TODAY(),"Y"))</f>
        <v/>
      </c>
      <c r="N222" s="11" t="n"/>
    </row>
    <row r="223">
      <c r="E223" s="11" t="n"/>
      <c r="F223" s="12">
        <f>IF($E223="","",DATEDIF($E223,TODAY(),"Y"))</f>
        <v/>
      </c>
      <c r="N223" s="11" t="n"/>
    </row>
    <row r="224">
      <c r="E224" s="11" t="n"/>
      <c r="F224" s="12">
        <f>IF($E224="","",DATEDIF($E224,TODAY(),"Y"))</f>
        <v/>
      </c>
      <c r="N224" s="11" t="n"/>
    </row>
    <row r="225">
      <c r="E225" s="11" t="n"/>
      <c r="F225" s="12">
        <f>IF($E225="","",DATEDIF($E225,TODAY(),"Y"))</f>
        <v/>
      </c>
      <c r="N225" s="11" t="n"/>
    </row>
    <row r="226">
      <c r="E226" s="11" t="n"/>
      <c r="F226" s="12">
        <f>IF($E226="","",DATEDIF($E226,TODAY(),"Y"))</f>
        <v/>
      </c>
      <c r="N226" s="11" t="n"/>
    </row>
    <row r="227">
      <c r="E227" s="11" t="n"/>
      <c r="F227" s="12">
        <f>IF($E227="","",DATEDIF($E227,TODAY(),"Y"))</f>
        <v/>
      </c>
      <c r="N227" s="11" t="n"/>
    </row>
    <row r="228">
      <c r="E228" s="11" t="n"/>
      <c r="F228" s="12">
        <f>IF($E228="","",DATEDIF($E228,TODAY(),"Y"))</f>
        <v/>
      </c>
      <c r="N228" s="11" t="n"/>
    </row>
    <row r="229">
      <c r="E229" s="11" t="n"/>
      <c r="F229" s="12">
        <f>IF($E229="","",DATEDIF($E229,TODAY(),"Y"))</f>
        <v/>
      </c>
      <c r="N229" s="11" t="n"/>
    </row>
    <row r="230">
      <c r="E230" s="11" t="n"/>
      <c r="F230" s="12">
        <f>IF($E230="","",DATEDIF($E230,TODAY(),"Y"))</f>
        <v/>
      </c>
      <c r="N230" s="11" t="n"/>
    </row>
    <row r="231">
      <c r="E231" s="11" t="n"/>
      <c r="F231" s="12">
        <f>IF($E231="","",DATEDIF($E231,TODAY(),"Y"))</f>
        <v/>
      </c>
      <c r="N231" s="11" t="n"/>
    </row>
    <row r="232">
      <c r="E232" s="11" t="n"/>
      <c r="F232" s="12">
        <f>IF($E232="","",DATEDIF($E232,TODAY(),"Y"))</f>
        <v/>
      </c>
      <c r="N232" s="11" t="n"/>
    </row>
    <row r="233">
      <c r="E233" s="11" t="n"/>
      <c r="F233" s="12">
        <f>IF($E233="","",DATEDIF($E233,TODAY(),"Y"))</f>
        <v/>
      </c>
      <c r="N233" s="11" t="n"/>
    </row>
    <row r="234">
      <c r="E234" s="11" t="n"/>
      <c r="F234" s="12">
        <f>IF($E234="","",DATEDIF($E234,TODAY(),"Y"))</f>
        <v/>
      </c>
      <c r="N234" s="11" t="n"/>
    </row>
    <row r="235">
      <c r="E235" s="11" t="n"/>
      <c r="F235" s="12">
        <f>IF($E235="","",DATEDIF($E235,TODAY(),"Y"))</f>
        <v/>
      </c>
      <c r="N235" s="11" t="n"/>
    </row>
    <row r="236">
      <c r="E236" s="11" t="n"/>
      <c r="F236" s="12">
        <f>IF($E236="","",DATEDIF($E236,TODAY(),"Y"))</f>
        <v/>
      </c>
      <c r="N236" s="11" t="n"/>
    </row>
    <row r="237">
      <c r="E237" s="11" t="n"/>
      <c r="F237" s="12">
        <f>IF($E237="","",DATEDIF($E237,TODAY(),"Y"))</f>
        <v/>
      </c>
      <c r="N237" s="11" t="n"/>
    </row>
    <row r="238">
      <c r="E238" s="11" t="n"/>
      <c r="F238" s="12">
        <f>IF($E238="","",DATEDIF($E238,TODAY(),"Y"))</f>
        <v/>
      </c>
      <c r="N238" s="11" t="n"/>
    </row>
    <row r="239">
      <c r="E239" s="11" t="n"/>
      <c r="F239" s="12">
        <f>IF($E239="","",DATEDIF($E239,TODAY(),"Y"))</f>
        <v/>
      </c>
      <c r="N239" s="11" t="n"/>
    </row>
    <row r="240">
      <c r="E240" s="11" t="n"/>
      <c r="F240" s="12">
        <f>IF($E240="","",DATEDIF($E240,TODAY(),"Y"))</f>
        <v/>
      </c>
      <c r="N240" s="11" t="n"/>
    </row>
    <row r="241">
      <c r="E241" s="11" t="n"/>
      <c r="F241" s="12">
        <f>IF($E241="","",DATEDIF($E241,TODAY(),"Y"))</f>
        <v/>
      </c>
      <c r="N241" s="11" t="n"/>
    </row>
    <row r="242">
      <c r="E242" s="11" t="n"/>
      <c r="F242" s="12">
        <f>IF($E242="","",DATEDIF($E242,TODAY(),"Y"))</f>
        <v/>
      </c>
      <c r="N242" s="11" t="n"/>
    </row>
    <row r="243">
      <c r="E243" s="11" t="n"/>
      <c r="F243" s="12">
        <f>IF($E243="","",DATEDIF($E243,TODAY(),"Y"))</f>
        <v/>
      </c>
      <c r="N243" s="11" t="n"/>
    </row>
    <row r="244">
      <c r="E244" s="11" t="n"/>
      <c r="F244" s="12">
        <f>IF($E244="","",DATEDIF($E244,TODAY(),"Y"))</f>
        <v/>
      </c>
      <c r="N244" s="11" t="n"/>
    </row>
    <row r="245">
      <c r="E245" s="11" t="n"/>
      <c r="F245" s="12">
        <f>IF($E245="","",DATEDIF($E245,TODAY(),"Y"))</f>
        <v/>
      </c>
      <c r="N245" s="11" t="n"/>
    </row>
    <row r="246">
      <c r="E246" s="11" t="n"/>
      <c r="F246" s="12">
        <f>IF($E246="","",DATEDIF($E246,TODAY(),"Y"))</f>
        <v/>
      </c>
      <c r="N246" s="11" t="n"/>
    </row>
    <row r="247">
      <c r="E247" s="11" t="n"/>
      <c r="F247" s="12">
        <f>IF($E247="","",DATEDIF($E247,TODAY(),"Y"))</f>
        <v/>
      </c>
      <c r="N247" s="11" t="n"/>
    </row>
    <row r="248">
      <c r="E248" s="11" t="n"/>
      <c r="F248" s="12">
        <f>IF($E248="","",DATEDIF($E248,TODAY(),"Y"))</f>
        <v/>
      </c>
      <c r="N248" s="11" t="n"/>
    </row>
    <row r="249">
      <c r="E249" s="11" t="n"/>
      <c r="F249" s="12">
        <f>IF($E249="","",DATEDIF($E249,TODAY(),"Y"))</f>
        <v/>
      </c>
      <c r="N249" s="11" t="n"/>
    </row>
    <row r="250">
      <c r="E250" s="11" t="n"/>
      <c r="F250" s="12">
        <f>IF($E250="","",DATEDIF($E250,TODAY(),"Y"))</f>
        <v/>
      </c>
      <c r="N250" s="11" t="n"/>
    </row>
    <row r="251">
      <c r="E251" s="11" t="n"/>
      <c r="F251" s="12">
        <f>IF($E251="","",DATEDIF($E251,TODAY(),"Y"))</f>
        <v/>
      </c>
      <c r="N251" s="11" t="n"/>
    </row>
    <row r="252">
      <c r="E252" s="11" t="n"/>
      <c r="F252" s="12">
        <f>IF($E252="","",DATEDIF($E252,TODAY(),"Y"))</f>
        <v/>
      </c>
      <c r="N252" s="11" t="n"/>
    </row>
    <row r="253">
      <c r="E253" s="11" t="n"/>
      <c r="F253" s="12">
        <f>IF($E253="","",DATEDIF($E253,TODAY(),"Y"))</f>
        <v/>
      </c>
      <c r="N253" s="11" t="n"/>
    </row>
    <row r="254">
      <c r="E254" s="11" t="n"/>
      <c r="F254" s="12">
        <f>IF($E254="","",DATEDIF($E254,TODAY(),"Y"))</f>
        <v/>
      </c>
      <c r="N254" s="11" t="n"/>
    </row>
    <row r="255">
      <c r="E255" s="11" t="n"/>
      <c r="F255" s="12">
        <f>IF($E255="","",DATEDIF($E255,TODAY(),"Y"))</f>
        <v/>
      </c>
      <c r="N255" s="11" t="n"/>
    </row>
    <row r="256">
      <c r="E256" s="11" t="n"/>
      <c r="F256" s="12">
        <f>IF($E256="","",DATEDIF($E256,TODAY(),"Y"))</f>
        <v/>
      </c>
      <c r="N256" s="11" t="n"/>
    </row>
    <row r="257">
      <c r="E257" s="11" t="n"/>
      <c r="F257" s="12">
        <f>IF($E257="","",DATEDIF($E257,TODAY(),"Y"))</f>
        <v/>
      </c>
      <c r="N257" s="11" t="n"/>
    </row>
    <row r="258">
      <c r="E258" s="11" t="n"/>
      <c r="F258" s="12">
        <f>IF($E258="","",DATEDIF($E258,TODAY(),"Y"))</f>
        <v/>
      </c>
      <c r="N258" s="11" t="n"/>
    </row>
    <row r="259">
      <c r="E259" s="11" t="n"/>
      <c r="F259" s="12">
        <f>IF($E259="","",DATEDIF($E259,TODAY(),"Y"))</f>
        <v/>
      </c>
      <c r="N259" s="11" t="n"/>
    </row>
    <row r="260">
      <c r="E260" s="11" t="n"/>
      <c r="F260" s="12">
        <f>IF($E260="","",DATEDIF($E260,TODAY(),"Y"))</f>
        <v/>
      </c>
      <c r="N260" s="11" t="n"/>
    </row>
    <row r="261">
      <c r="E261" s="11" t="n"/>
      <c r="F261" s="12">
        <f>IF($E261="","",DATEDIF($E261,TODAY(),"Y"))</f>
        <v/>
      </c>
      <c r="N261" s="11" t="n"/>
    </row>
    <row r="262">
      <c r="E262" s="11" t="n"/>
      <c r="F262" s="12">
        <f>IF($E262="","",DATEDIF($E262,TODAY(),"Y"))</f>
        <v/>
      </c>
      <c r="N262" s="11" t="n"/>
    </row>
    <row r="263">
      <c r="E263" s="11" t="n"/>
      <c r="F263" s="12">
        <f>IF($E263="","",DATEDIF($E263,TODAY(),"Y"))</f>
        <v/>
      </c>
      <c r="N263" s="11" t="n"/>
    </row>
    <row r="264">
      <c r="E264" s="11" t="n"/>
      <c r="F264" s="12">
        <f>IF($E264="","",DATEDIF($E264,TODAY(),"Y"))</f>
        <v/>
      </c>
      <c r="N264" s="11" t="n"/>
    </row>
    <row r="265">
      <c r="E265" s="11" t="n"/>
      <c r="F265" s="12">
        <f>IF($E265="","",DATEDIF($E265,TODAY(),"Y"))</f>
        <v/>
      </c>
      <c r="N265" s="11" t="n"/>
    </row>
    <row r="266">
      <c r="E266" s="11" t="n"/>
      <c r="F266" s="12">
        <f>IF($E266="","",DATEDIF($E266,TODAY(),"Y"))</f>
        <v/>
      </c>
      <c r="N266" s="11" t="n"/>
    </row>
    <row r="267">
      <c r="E267" s="11" t="n"/>
      <c r="F267" s="12">
        <f>IF($E267="","",DATEDIF($E267,TODAY(),"Y"))</f>
        <v/>
      </c>
      <c r="N267" s="11" t="n"/>
    </row>
    <row r="268">
      <c r="E268" s="11" t="n"/>
      <c r="F268" s="12">
        <f>IF($E268="","",DATEDIF($E268,TODAY(),"Y"))</f>
        <v/>
      </c>
      <c r="N268" s="11" t="n"/>
    </row>
    <row r="269">
      <c r="E269" s="11" t="n"/>
      <c r="F269" s="12">
        <f>IF($E269="","",DATEDIF($E269,TODAY(),"Y"))</f>
        <v/>
      </c>
      <c r="N269" s="11" t="n"/>
    </row>
    <row r="270">
      <c r="E270" s="11" t="n"/>
      <c r="F270" s="12">
        <f>IF($E270="","",DATEDIF($E270,TODAY(),"Y"))</f>
        <v/>
      </c>
      <c r="N270" s="11" t="n"/>
    </row>
    <row r="271">
      <c r="E271" s="11" t="n"/>
      <c r="F271" s="12">
        <f>IF($E271="","",DATEDIF($E271,TODAY(),"Y"))</f>
        <v/>
      </c>
      <c r="N271" s="11" t="n"/>
    </row>
    <row r="272">
      <c r="E272" s="11" t="n"/>
      <c r="F272" s="12">
        <f>IF($E272="","",DATEDIF($E272,TODAY(),"Y"))</f>
        <v/>
      </c>
      <c r="N272" s="11" t="n"/>
    </row>
    <row r="273">
      <c r="E273" s="11" t="n"/>
      <c r="F273" s="12">
        <f>IF($E273="","",DATEDIF($E273,TODAY(),"Y"))</f>
        <v/>
      </c>
      <c r="N273" s="11" t="n"/>
    </row>
    <row r="274">
      <c r="E274" s="11" t="n"/>
      <c r="F274" s="12">
        <f>IF($E274="","",DATEDIF($E274,TODAY(),"Y"))</f>
        <v/>
      </c>
      <c r="N274" s="11" t="n"/>
    </row>
    <row r="275">
      <c r="E275" s="11" t="n"/>
      <c r="F275" s="12">
        <f>IF($E275="","",DATEDIF($E275,TODAY(),"Y"))</f>
        <v/>
      </c>
      <c r="N275" s="11" t="n"/>
    </row>
    <row r="276">
      <c r="E276" s="11" t="n"/>
      <c r="F276" s="12">
        <f>IF($E276="","",DATEDIF($E276,TODAY(),"Y"))</f>
        <v/>
      </c>
      <c r="N276" s="11" t="n"/>
    </row>
    <row r="277">
      <c r="E277" s="11" t="n"/>
      <c r="F277" s="12">
        <f>IF($E277="","",DATEDIF($E277,TODAY(),"Y"))</f>
        <v/>
      </c>
      <c r="N277" s="11" t="n"/>
    </row>
    <row r="278">
      <c r="E278" s="11" t="n"/>
      <c r="F278" s="12">
        <f>IF($E278="","",DATEDIF($E278,TODAY(),"Y"))</f>
        <v/>
      </c>
      <c r="N278" s="11" t="n"/>
    </row>
    <row r="279">
      <c r="E279" s="11" t="n"/>
      <c r="F279" s="12">
        <f>IF($E279="","",DATEDIF($E279,TODAY(),"Y"))</f>
        <v/>
      </c>
      <c r="N279" s="11" t="n"/>
    </row>
    <row r="280">
      <c r="E280" s="11" t="n"/>
      <c r="F280" s="12">
        <f>IF($E280="","",DATEDIF($E280,TODAY(),"Y"))</f>
        <v/>
      </c>
      <c r="N280" s="11" t="n"/>
    </row>
    <row r="281">
      <c r="E281" s="11" t="n"/>
      <c r="F281" s="12">
        <f>IF($E281="","",DATEDIF($E281,TODAY(),"Y"))</f>
        <v/>
      </c>
      <c r="N281" s="11" t="n"/>
    </row>
    <row r="282">
      <c r="E282" s="11" t="n"/>
      <c r="F282" s="12">
        <f>IF($E282="","",DATEDIF($E282,TODAY(),"Y"))</f>
        <v/>
      </c>
      <c r="N282" s="11" t="n"/>
    </row>
    <row r="283">
      <c r="E283" s="11" t="n"/>
      <c r="F283" s="12">
        <f>IF($E283="","",DATEDIF($E283,TODAY(),"Y"))</f>
        <v/>
      </c>
      <c r="N283" s="11" t="n"/>
    </row>
    <row r="284">
      <c r="E284" s="11" t="n"/>
      <c r="F284" s="12">
        <f>IF($E284="","",DATEDIF($E284,TODAY(),"Y"))</f>
        <v/>
      </c>
      <c r="N284" s="11" t="n"/>
    </row>
    <row r="285">
      <c r="E285" s="11" t="n"/>
      <c r="F285" s="12">
        <f>IF($E285="","",DATEDIF($E285,TODAY(),"Y"))</f>
        <v/>
      </c>
      <c r="N285" s="11" t="n"/>
    </row>
    <row r="286">
      <c r="E286" s="11" t="n"/>
      <c r="F286" s="12">
        <f>IF($E286="","",DATEDIF($E286,TODAY(),"Y"))</f>
        <v/>
      </c>
      <c r="N286" s="11" t="n"/>
    </row>
    <row r="287">
      <c r="E287" s="11" t="n"/>
      <c r="F287" s="12">
        <f>IF($E287="","",DATEDIF($E287,TODAY(),"Y"))</f>
        <v/>
      </c>
      <c r="N287" s="11" t="n"/>
    </row>
    <row r="288">
      <c r="E288" s="11" t="n"/>
      <c r="F288" s="12">
        <f>IF($E288="","",DATEDIF($E288,TODAY(),"Y"))</f>
        <v/>
      </c>
      <c r="N288" s="11" t="n"/>
    </row>
    <row r="289">
      <c r="E289" s="11" t="n"/>
      <c r="F289" s="12">
        <f>IF($E289="","",DATEDIF($E289,TODAY(),"Y"))</f>
        <v/>
      </c>
      <c r="N289" s="11" t="n"/>
    </row>
    <row r="290">
      <c r="E290" s="11" t="n"/>
      <c r="F290" s="12">
        <f>IF($E290="","",DATEDIF($E290,TODAY(),"Y"))</f>
        <v/>
      </c>
      <c r="N290" s="11" t="n"/>
    </row>
    <row r="291">
      <c r="E291" s="11" t="n"/>
      <c r="F291" s="12">
        <f>IF($E291="","",DATEDIF($E291,TODAY(),"Y"))</f>
        <v/>
      </c>
      <c r="N291" s="11" t="n"/>
    </row>
    <row r="292">
      <c r="E292" s="11" t="n"/>
      <c r="F292" s="12">
        <f>IF($E292="","",DATEDIF($E292,TODAY(),"Y"))</f>
        <v/>
      </c>
      <c r="N292" s="11" t="n"/>
    </row>
    <row r="293">
      <c r="E293" s="11" t="n"/>
      <c r="F293" s="12">
        <f>IF($E293="","",DATEDIF($E293,TODAY(),"Y"))</f>
        <v/>
      </c>
      <c r="N293" s="11" t="n"/>
    </row>
    <row r="294">
      <c r="E294" s="11" t="n"/>
      <c r="F294" s="12">
        <f>IF($E294="","",DATEDIF($E294,TODAY(),"Y"))</f>
        <v/>
      </c>
      <c r="N294" s="11" t="n"/>
    </row>
    <row r="295">
      <c r="E295" s="11" t="n"/>
      <c r="F295" s="12">
        <f>IF($E295="","",DATEDIF($E295,TODAY(),"Y"))</f>
        <v/>
      </c>
      <c r="N295" s="11" t="n"/>
    </row>
    <row r="296">
      <c r="E296" s="11" t="n"/>
      <c r="F296" s="12">
        <f>IF($E296="","",DATEDIF($E296,TODAY(),"Y"))</f>
        <v/>
      </c>
      <c r="N296" s="11" t="n"/>
    </row>
    <row r="297">
      <c r="E297" s="11" t="n"/>
      <c r="F297" s="12">
        <f>IF($E297="","",DATEDIF($E297,TODAY(),"Y"))</f>
        <v/>
      </c>
      <c r="N297" s="11" t="n"/>
    </row>
    <row r="298">
      <c r="E298" s="11" t="n"/>
      <c r="F298" s="12">
        <f>IF($E298="","",DATEDIF($E298,TODAY(),"Y"))</f>
        <v/>
      </c>
      <c r="N298" s="11" t="n"/>
    </row>
    <row r="299">
      <c r="E299" s="11" t="n"/>
      <c r="F299" s="12">
        <f>IF($E299="","",DATEDIF($E299,TODAY(),"Y"))</f>
        <v/>
      </c>
      <c r="N299" s="11" t="n"/>
    </row>
    <row r="300">
      <c r="E300" s="11" t="n"/>
      <c r="F300" s="12">
        <f>IF($E300="","",DATEDIF($E300,TODAY(),"Y"))</f>
        <v/>
      </c>
      <c r="N300" s="11" t="n"/>
    </row>
    <row r="301">
      <c r="E301" s="11" t="n"/>
      <c r="F301" s="12">
        <f>IF($E301="","",DATEDIF($E301,TODAY(),"Y"))</f>
        <v/>
      </c>
      <c r="N301" s="11" t="n"/>
    </row>
    <row r="302">
      <c r="E302" s="11" t="n"/>
      <c r="F302" s="12">
        <f>IF($E302="","",DATEDIF($E302,TODAY(),"Y"))</f>
        <v/>
      </c>
      <c r="N302" s="11" t="n"/>
    </row>
    <row r="303">
      <c r="E303" s="11" t="n"/>
      <c r="F303" s="12">
        <f>IF($E303="","",DATEDIF($E303,TODAY(),"Y"))</f>
        <v/>
      </c>
      <c r="N303" s="11" t="n"/>
    </row>
    <row r="304">
      <c r="E304" s="11" t="n"/>
      <c r="F304" s="12">
        <f>IF($E304="","",DATEDIF($E304,TODAY(),"Y"))</f>
        <v/>
      </c>
      <c r="N304" s="11" t="n"/>
    </row>
    <row r="305">
      <c r="E305" s="11" t="n"/>
      <c r="F305" s="12">
        <f>IF($E305="","",DATEDIF($E305,TODAY(),"Y"))</f>
        <v/>
      </c>
      <c r="N305" s="11" t="n"/>
    </row>
    <row r="306">
      <c r="E306" s="11" t="n"/>
      <c r="F306" s="12">
        <f>IF($E306="","",DATEDIF($E306,TODAY(),"Y"))</f>
        <v/>
      </c>
      <c r="N306" s="11" t="n"/>
    </row>
    <row r="307">
      <c r="E307" s="11" t="n"/>
      <c r="F307" s="12">
        <f>IF($E307="","",DATEDIF($E307,TODAY(),"Y"))</f>
        <v/>
      </c>
      <c r="N307" s="11" t="n"/>
    </row>
    <row r="308">
      <c r="E308" s="11" t="n"/>
      <c r="F308" s="12">
        <f>IF($E308="","",DATEDIF($E308,TODAY(),"Y"))</f>
        <v/>
      </c>
      <c r="N308" s="11" t="n"/>
    </row>
    <row r="309">
      <c r="E309" s="11" t="n"/>
      <c r="F309" s="12">
        <f>IF($E309="","",DATEDIF($E309,TODAY(),"Y"))</f>
        <v/>
      </c>
      <c r="N309" s="11" t="n"/>
    </row>
    <row r="310">
      <c r="E310" s="11" t="n"/>
      <c r="F310" s="12">
        <f>IF($E310="","",DATEDIF($E310,TODAY(),"Y"))</f>
        <v/>
      </c>
      <c r="N310" s="11" t="n"/>
    </row>
    <row r="311">
      <c r="E311" s="11" t="n"/>
      <c r="F311" s="12">
        <f>IF($E311="","",DATEDIF($E311,TODAY(),"Y"))</f>
        <v/>
      </c>
      <c r="N311" s="11" t="n"/>
    </row>
    <row r="312">
      <c r="E312" s="11" t="n"/>
      <c r="F312" s="12">
        <f>IF($E312="","",DATEDIF($E312,TODAY(),"Y"))</f>
        <v/>
      </c>
      <c r="N312" s="11" t="n"/>
    </row>
    <row r="313">
      <c r="E313" s="11" t="n"/>
      <c r="F313" s="12">
        <f>IF($E313="","",DATEDIF($E313,TODAY(),"Y"))</f>
        <v/>
      </c>
      <c r="N313" s="11" t="n"/>
    </row>
    <row r="314">
      <c r="E314" s="11" t="n"/>
      <c r="F314" s="12">
        <f>IF($E314="","",DATEDIF($E314,TODAY(),"Y"))</f>
        <v/>
      </c>
      <c r="N314" s="11" t="n"/>
    </row>
    <row r="315">
      <c r="E315" s="11" t="n"/>
      <c r="F315" s="12">
        <f>IF($E315="","",DATEDIF($E315,TODAY(),"Y"))</f>
        <v/>
      </c>
      <c r="N315" s="11" t="n"/>
    </row>
    <row r="316">
      <c r="E316" s="11" t="n"/>
      <c r="F316" s="12">
        <f>IF($E316="","",DATEDIF($E316,TODAY(),"Y"))</f>
        <v/>
      </c>
      <c r="N316" s="11" t="n"/>
    </row>
    <row r="317">
      <c r="E317" s="11" t="n"/>
      <c r="F317" s="12">
        <f>IF($E317="","",DATEDIF($E317,TODAY(),"Y"))</f>
        <v/>
      </c>
      <c r="N317" s="11" t="n"/>
    </row>
    <row r="318">
      <c r="E318" s="11" t="n"/>
      <c r="F318" s="12">
        <f>IF($E318="","",DATEDIF($E318,TODAY(),"Y"))</f>
        <v/>
      </c>
      <c r="N318" s="11" t="n"/>
    </row>
    <row r="319">
      <c r="E319" s="11" t="n"/>
      <c r="F319" s="12">
        <f>IF($E319="","",DATEDIF($E319,TODAY(),"Y"))</f>
        <v/>
      </c>
      <c r="N319" s="11" t="n"/>
    </row>
    <row r="320">
      <c r="E320" s="11" t="n"/>
      <c r="F320" s="12">
        <f>IF($E320="","",DATEDIF($E320,TODAY(),"Y"))</f>
        <v/>
      </c>
      <c r="N320" s="11" t="n"/>
    </row>
    <row r="321">
      <c r="E321" s="11" t="n"/>
      <c r="F321" s="12">
        <f>IF($E321="","",DATEDIF($E321,TODAY(),"Y"))</f>
        <v/>
      </c>
      <c r="N321" s="11" t="n"/>
    </row>
    <row r="322">
      <c r="E322" s="11" t="n"/>
      <c r="F322" s="12">
        <f>IF($E322="","",DATEDIF($E322,TODAY(),"Y"))</f>
        <v/>
      </c>
      <c r="N322" s="11" t="n"/>
    </row>
    <row r="323">
      <c r="E323" s="11" t="n"/>
      <c r="F323" s="12">
        <f>IF($E323="","",DATEDIF($E323,TODAY(),"Y"))</f>
        <v/>
      </c>
      <c r="N323" s="11" t="n"/>
    </row>
    <row r="324">
      <c r="E324" s="11" t="n"/>
      <c r="F324" s="12">
        <f>IF($E324="","",DATEDIF($E324,TODAY(),"Y"))</f>
        <v/>
      </c>
      <c r="N324" s="11" t="n"/>
    </row>
    <row r="325">
      <c r="E325" s="11" t="n"/>
      <c r="F325" s="12">
        <f>IF($E325="","",DATEDIF($E325,TODAY(),"Y"))</f>
        <v/>
      </c>
      <c r="N325" s="11" t="n"/>
    </row>
    <row r="326">
      <c r="E326" s="11" t="n"/>
      <c r="F326" s="12">
        <f>IF($E326="","",DATEDIF($E326,TODAY(),"Y"))</f>
        <v/>
      </c>
      <c r="N326" s="11" t="n"/>
    </row>
    <row r="327">
      <c r="E327" s="11" t="n"/>
      <c r="F327" s="12">
        <f>IF($E327="","",DATEDIF($E327,TODAY(),"Y"))</f>
        <v/>
      </c>
      <c r="N327" s="11" t="n"/>
    </row>
    <row r="328">
      <c r="E328" s="11" t="n"/>
      <c r="F328" s="12">
        <f>IF($E328="","",DATEDIF($E328,TODAY(),"Y"))</f>
        <v/>
      </c>
      <c r="N328" s="11" t="n"/>
    </row>
    <row r="329">
      <c r="E329" s="11" t="n"/>
      <c r="F329" s="12">
        <f>IF($E329="","",DATEDIF($E329,TODAY(),"Y"))</f>
        <v/>
      </c>
      <c r="N329" s="11" t="n"/>
    </row>
    <row r="330">
      <c r="E330" s="11" t="n"/>
      <c r="F330" s="12">
        <f>IF($E330="","",DATEDIF($E330,TODAY(),"Y"))</f>
        <v/>
      </c>
      <c r="N330" s="11" t="n"/>
    </row>
    <row r="331">
      <c r="E331" s="11" t="n"/>
      <c r="F331" s="12">
        <f>IF($E331="","",DATEDIF($E331,TODAY(),"Y"))</f>
        <v/>
      </c>
      <c r="N331" s="11" t="n"/>
    </row>
    <row r="332">
      <c r="E332" s="11" t="n"/>
      <c r="F332" s="12">
        <f>IF($E332="","",DATEDIF($E332,TODAY(),"Y"))</f>
        <v/>
      </c>
      <c r="N332" s="11" t="n"/>
    </row>
    <row r="333">
      <c r="E333" s="11" t="n"/>
      <c r="F333" s="12">
        <f>IF($E333="","",DATEDIF($E333,TODAY(),"Y"))</f>
        <v/>
      </c>
      <c r="N333" s="11" t="n"/>
    </row>
    <row r="334">
      <c r="E334" s="11" t="n"/>
      <c r="F334" s="12">
        <f>IF($E334="","",DATEDIF($E334,TODAY(),"Y"))</f>
        <v/>
      </c>
      <c r="N334" s="11" t="n"/>
    </row>
    <row r="335">
      <c r="E335" s="11" t="n"/>
      <c r="F335" s="12">
        <f>IF($E335="","",DATEDIF($E335,TODAY(),"Y"))</f>
        <v/>
      </c>
      <c r="N335" s="11" t="n"/>
    </row>
    <row r="336">
      <c r="E336" s="11" t="n"/>
      <c r="F336" s="12">
        <f>IF($E336="","",DATEDIF($E336,TODAY(),"Y"))</f>
        <v/>
      </c>
      <c r="N336" s="11" t="n"/>
    </row>
    <row r="337">
      <c r="E337" s="11" t="n"/>
      <c r="F337" s="12">
        <f>IF($E337="","",DATEDIF($E337,TODAY(),"Y"))</f>
        <v/>
      </c>
      <c r="N337" s="11" t="n"/>
    </row>
    <row r="338">
      <c r="E338" s="11" t="n"/>
      <c r="F338" s="12">
        <f>IF($E338="","",DATEDIF($E338,TODAY(),"Y"))</f>
        <v/>
      </c>
      <c r="N338" s="11" t="n"/>
    </row>
    <row r="339">
      <c r="E339" s="11" t="n"/>
      <c r="F339" s="12">
        <f>IF($E339="","",DATEDIF($E339,TODAY(),"Y"))</f>
        <v/>
      </c>
      <c r="N339" s="11" t="n"/>
    </row>
    <row r="340">
      <c r="E340" s="11" t="n"/>
      <c r="F340" s="12">
        <f>IF($E340="","",DATEDIF($E340,TODAY(),"Y"))</f>
        <v/>
      </c>
      <c r="N340" s="11" t="n"/>
    </row>
    <row r="341">
      <c r="E341" s="11" t="n"/>
      <c r="F341" s="12">
        <f>IF($E341="","",DATEDIF($E341,TODAY(),"Y"))</f>
        <v/>
      </c>
      <c r="N341" s="11" t="n"/>
    </row>
    <row r="342">
      <c r="E342" s="11" t="n"/>
      <c r="F342" s="12">
        <f>IF($E342="","",DATEDIF($E342,TODAY(),"Y"))</f>
        <v/>
      </c>
      <c r="N342" s="11" t="n"/>
    </row>
    <row r="343">
      <c r="E343" s="11" t="n"/>
      <c r="F343" s="12">
        <f>IF($E343="","",DATEDIF($E343,TODAY(),"Y"))</f>
        <v/>
      </c>
      <c r="N343" s="11" t="n"/>
    </row>
    <row r="344">
      <c r="E344" s="11" t="n"/>
      <c r="F344" s="12">
        <f>IF($E344="","",DATEDIF($E344,TODAY(),"Y"))</f>
        <v/>
      </c>
      <c r="N344" s="11" t="n"/>
    </row>
    <row r="345">
      <c r="E345" s="11" t="n"/>
      <c r="F345" s="12">
        <f>IF($E345="","",DATEDIF($E345,TODAY(),"Y"))</f>
        <v/>
      </c>
      <c r="N345" s="11" t="n"/>
    </row>
    <row r="346">
      <c r="E346" s="11" t="n"/>
      <c r="F346" s="12">
        <f>IF($E346="","",DATEDIF($E346,TODAY(),"Y"))</f>
        <v/>
      </c>
      <c r="N346" s="11" t="n"/>
    </row>
    <row r="347">
      <c r="E347" s="11" t="n"/>
      <c r="F347" s="12">
        <f>IF($E347="","",DATEDIF($E347,TODAY(),"Y"))</f>
        <v/>
      </c>
      <c r="N347" s="11" t="n"/>
    </row>
    <row r="348">
      <c r="E348" s="11" t="n"/>
      <c r="F348" s="12">
        <f>IF($E348="","",DATEDIF($E348,TODAY(),"Y"))</f>
        <v/>
      </c>
      <c r="N348" s="11" t="n"/>
    </row>
    <row r="349">
      <c r="E349" s="11" t="n"/>
      <c r="F349" s="12">
        <f>IF($E349="","",DATEDIF($E349,TODAY(),"Y"))</f>
        <v/>
      </c>
      <c r="N349" s="11" t="n"/>
    </row>
    <row r="350">
      <c r="E350" s="11" t="n"/>
      <c r="F350" s="12">
        <f>IF($E350="","",DATEDIF($E350,TODAY(),"Y"))</f>
        <v/>
      </c>
      <c r="N350" s="11" t="n"/>
    </row>
    <row r="351">
      <c r="E351" s="11" t="n"/>
      <c r="F351" s="12">
        <f>IF($E351="","",DATEDIF($E351,TODAY(),"Y"))</f>
        <v/>
      </c>
      <c r="N351" s="11" t="n"/>
    </row>
    <row r="352">
      <c r="E352" s="11" t="n"/>
      <c r="F352" s="12">
        <f>IF($E352="","",DATEDIF($E352,TODAY(),"Y"))</f>
        <v/>
      </c>
      <c r="N352" s="11" t="n"/>
    </row>
    <row r="353">
      <c r="E353" s="11" t="n"/>
      <c r="F353" s="12">
        <f>IF($E353="","",DATEDIF($E353,TODAY(),"Y"))</f>
        <v/>
      </c>
      <c r="N353" s="11" t="n"/>
    </row>
    <row r="354">
      <c r="E354" s="11" t="n"/>
      <c r="F354" s="12">
        <f>IF($E354="","",DATEDIF($E354,TODAY(),"Y"))</f>
        <v/>
      </c>
      <c r="N354" s="11" t="n"/>
    </row>
    <row r="355">
      <c r="E355" s="11" t="n"/>
      <c r="F355" s="12">
        <f>IF($E355="","",DATEDIF($E355,TODAY(),"Y"))</f>
        <v/>
      </c>
      <c r="N355" s="11" t="n"/>
    </row>
    <row r="356">
      <c r="E356" s="11" t="n"/>
      <c r="F356" s="12">
        <f>IF($E356="","",DATEDIF($E356,TODAY(),"Y"))</f>
        <v/>
      </c>
      <c r="N356" s="11" t="n"/>
    </row>
    <row r="357">
      <c r="E357" s="11" t="n"/>
      <c r="F357" s="12">
        <f>IF($E357="","",DATEDIF($E357,TODAY(),"Y"))</f>
        <v/>
      </c>
      <c r="N357" s="11" t="n"/>
    </row>
    <row r="358">
      <c r="E358" s="11" t="n"/>
      <c r="F358" s="12">
        <f>IF($E358="","",DATEDIF($E358,TODAY(),"Y"))</f>
        <v/>
      </c>
      <c r="N358" s="11" t="n"/>
    </row>
    <row r="359">
      <c r="E359" s="11" t="n"/>
      <c r="F359" s="12">
        <f>IF($E359="","",DATEDIF($E359,TODAY(),"Y"))</f>
        <v/>
      </c>
      <c r="N359" s="11" t="n"/>
    </row>
    <row r="360">
      <c r="E360" s="11" t="n"/>
      <c r="F360" s="12">
        <f>IF($E360="","",DATEDIF($E360,TODAY(),"Y"))</f>
        <v/>
      </c>
      <c r="N360" s="11" t="n"/>
    </row>
    <row r="361">
      <c r="E361" s="11" t="n"/>
      <c r="F361" s="12">
        <f>IF($E361="","",DATEDIF($E361,TODAY(),"Y"))</f>
        <v/>
      </c>
      <c r="N361" s="11" t="n"/>
    </row>
    <row r="362">
      <c r="E362" s="11" t="n"/>
      <c r="F362" s="12">
        <f>IF($E362="","",DATEDIF($E362,TODAY(),"Y"))</f>
        <v/>
      </c>
      <c r="N362" s="11" t="n"/>
    </row>
    <row r="363">
      <c r="E363" s="11" t="n"/>
      <c r="F363" s="12">
        <f>IF($E363="","",DATEDIF($E363,TODAY(),"Y"))</f>
        <v/>
      </c>
      <c r="N363" s="11" t="n"/>
    </row>
    <row r="364">
      <c r="E364" s="11" t="n"/>
      <c r="F364" s="12">
        <f>IF($E364="","",DATEDIF($E364,TODAY(),"Y"))</f>
        <v/>
      </c>
      <c r="N364" s="11" t="n"/>
    </row>
    <row r="365">
      <c r="E365" s="11" t="n"/>
      <c r="F365" s="12">
        <f>IF($E365="","",DATEDIF($E365,TODAY(),"Y"))</f>
        <v/>
      </c>
      <c r="N365" s="11" t="n"/>
    </row>
    <row r="366">
      <c r="E366" s="11" t="n"/>
      <c r="F366" s="12">
        <f>IF($E366="","",DATEDIF($E366,TODAY(),"Y"))</f>
        <v/>
      </c>
      <c r="N366" s="11" t="n"/>
    </row>
    <row r="367">
      <c r="E367" s="11" t="n"/>
      <c r="F367" s="12">
        <f>IF($E367="","",DATEDIF($E367,TODAY(),"Y"))</f>
        <v/>
      </c>
      <c r="N367" s="11" t="n"/>
    </row>
    <row r="368">
      <c r="E368" s="11" t="n"/>
      <c r="F368" s="12">
        <f>IF($E368="","",DATEDIF($E368,TODAY(),"Y"))</f>
        <v/>
      </c>
      <c r="N368" s="11" t="n"/>
    </row>
    <row r="369">
      <c r="E369" s="11" t="n"/>
      <c r="F369" s="12">
        <f>IF($E369="","",DATEDIF($E369,TODAY(),"Y"))</f>
        <v/>
      </c>
      <c r="N369" s="11" t="n"/>
    </row>
    <row r="370">
      <c r="E370" s="11" t="n"/>
      <c r="F370" s="12">
        <f>IF($E370="","",DATEDIF($E370,TODAY(),"Y"))</f>
        <v/>
      </c>
      <c r="N370" s="11" t="n"/>
    </row>
    <row r="371">
      <c r="E371" s="11" t="n"/>
      <c r="F371" s="12">
        <f>IF($E371="","",DATEDIF($E371,TODAY(),"Y"))</f>
        <v/>
      </c>
      <c r="N371" s="11" t="n"/>
    </row>
    <row r="372">
      <c r="E372" s="11" t="n"/>
      <c r="F372" s="12">
        <f>IF($E372="","",DATEDIF($E372,TODAY(),"Y"))</f>
        <v/>
      </c>
      <c r="N372" s="11" t="n"/>
    </row>
    <row r="373">
      <c r="E373" s="11" t="n"/>
      <c r="F373" s="12">
        <f>IF($E373="","",DATEDIF($E373,TODAY(),"Y"))</f>
        <v/>
      </c>
      <c r="N373" s="11" t="n"/>
    </row>
    <row r="374">
      <c r="E374" s="11" t="n"/>
      <c r="F374" s="12">
        <f>IF($E374="","",DATEDIF($E374,TODAY(),"Y"))</f>
        <v/>
      </c>
      <c r="N374" s="11" t="n"/>
    </row>
    <row r="375">
      <c r="E375" s="11" t="n"/>
      <c r="F375" s="12">
        <f>IF($E375="","",DATEDIF($E375,TODAY(),"Y"))</f>
        <v/>
      </c>
      <c r="N375" s="11" t="n"/>
    </row>
    <row r="376">
      <c r="E376" s="11" t="n"/>
      <c r="F376" s="12">
        <f>IF($E376="","",DATEDIF($E376,TODAY(),"Y"))</f>
        <v/>
      </c>
      <c r="N376" s="11" t="n"/>
    </row>
    <row r="377">
      <c r="E377" s="11" t="n"/>
      <c r="F377" s="12">
        <f>IF($E377="","",DATEDIF($E377,TODAY(),"Y"))</f>
        <v/>
      </c>
      <c r="N377" s="11" t="n"/>
    </row>
    <row r="378">
      <c r="E378" s="11" t="n"/>
      <c r="F378" s="12">
        <f>IF($E378="","",DATEDIF($E378,TODAY(),"Y"))</f>
        <v/>
      </c>
      <c r="N378" s="11" t="n"/>
    </row>
    <row r="379">
      <c r="E379" s="11" t="n"/>
      <c r="F379" s="12">
        <f>IF($E379="","",DATEDIF($E379,TODAY(),"Y"))</f>
        <v/>
      </c>
      <c r="N379" s="11" t="n"/>
    </row>
    <row r="380">
      <c r="E380" s="11" t="n"/>
      <c r="F380" s="12">
        <f>IF($E380="","",DATEDIF($E380,TODAY(),"Y"))</f>
        <v/>
      </c>
      <c r="N380" s="11" t="n"/>
    </row>
    <row r="381">
      <c r="E381" s="11" t="n"/>
      <c r="F381" s="12">
        <f>IF($E381="","",DATEDIF($E381,TODAY(),"Y"))</f>
        <v/>
      </c>
      <c r="N381" s="11" t="n"/>
    </row>
    <row r="382">
      <c r="E382" s="11" t="n"/>
      <c r="F382" s="12">
        <f>IF($E382="","",DATEDIF($E382,TODAY(),"Y"))</f>
        <v/>
      </c>
      <c r="N382" s="11" t="n"/>
    </row>
    <row r="383">
      <c r="E383" s="11" t="n"/>
      <c r="F383" s="12">
        <f>IF($E383="","",DATEDIF($E383,TODAY(),"Y"))</f>
        <v/>
      </c>
      <c r="N383" s="11" t="n"/>
    </row>
    <row r="384">
      <c r="E384" s="11" t="n"/>
      <c r="F384" s="12">
        <f>IF($E384="","",DATEDIF($E384,TODAY(),"Y"))</f>
        <v/>
      </c>
      <c r="N384" s="11" t="n"/>
    </row>
    <row r="385">
      <c r="E385" s="11" t="n"/>
      <c r="F385" s="12">
        <f>IF($E385="","",DATEDIF($E385,TODAY(),"Y"))</f>
        <v/>
      </c>
      <c r="N385" s="11" t="n"/>
    </row>
    <row r="386">
      <c r="E386" s="11" t="n"/>
      <c r="F386" s="12">
        <f>IF($E386="","",DATEDIF($E386,TODAY(),"Y"))</f>
        <v/>
      </c>
      <c r="N386" s="11" t="n"/>
    </row>
    <row r="387">
      <c r="E387" s="11" t="n"/>
      <c r="F387" s="12">
        <f>IF($E387="","",DATEDIF($E387,TODAY(),"Y"))</f>
        <v/>
      </c>
      <c r="N387" s="11" t="n"/>
    </row>
    <row r="388">
      <c r="E388" s="11" t="n"/>
      <c r="F388" s="12">
        <f>IF($E388="","",DATEDIF($E388,TODAY(),"Y"))</f>
        <v/>
      </c>
      <c r="N388" s="11" t="n"/>
    </row>
    <row r="389">
      <c r="E389" s="11" t="n"/>
      <c r="F389" s="12">
        <f>IF($E389="","",DATEDIF($E389,TODAY(),"Y"))</f>
        <v/>
      </c>
      <c r="N389" s="11" t="n"/>
    </row>
    <row r="390">
      <c r="E390" s="11" t="n"/>
      <c r="F390" s="12">
        <f>IF($E390="","",DATEDIF($E390,TODAY(),"Y"))</f>
        <v/>
      </c>
      <c r="N390" s="11" t="n"/>
    </row>
    <row r="391">
      <c r="E391" s="11" t="n"/>
      <c r="F391" s="12">
        <f>IF($E391="","",DATEDIF($E391,TODAY(),"Y"))</f>
        <v/>
      </c>
      <c r="N391" s="11" t="n"/>
    </row>
    <row r="392">
      <c r="E392" s="11" t="n"/>
      <c r="F392" s="12">
        <f>IF($E392="","",DATEDIF($E392,TODAY(),"Y"))</f>
        <v/>
      </c>
      <c r="N392" s="11" t="n"/>
    </row>
    <row r="393">
      <c r="E393" s="11" t="n"/>
      <c r="F393" s="12">
        <f>IF($E393="","",DATEDIF($E393,TODAY(),"Y"))</f>
        <v/>
      </c>
      <c r="N393" s="11" t="n"/>
    </row>
    <row r="394">
      <c r="E394" s="11" t="n"/>
      <c r="F394" s="12">
        <f>IF($E394="","",DATEDIF($E394,TODAY(),"Y"))</f>
        <v/>
      </c>
      <c r="N394" s="11" t="n"/>
    </row>
    <row r="395">
      <c r="E395" s="11" t="n"/>
      <c r="F395" s="12">
        <f>IF($E395="","",DATEDIF($E395,TODAY(),"Y"))</f>
        <v/>
      </c>
      <c r="N395" s="11" t="n"/>
    </row>
    <row r="396">
      <c r="E396" s="11" t="n"/>
      <c r="F396" s="12">
        <f>IF($E396="","",DATEDIF($E396,TODAY(),"Y"))</f>
        <v/>
      </c>
      <c r="N396" s="11" t="n"/>
    </row>
    <row r="397">
      <c r="E397" s="11" t="n"/>
      <c r="F397" s="12">
        <f>IF($E397="","",DATEDIF($E397,TODAY(),"Y"))</f>
        <v/>
      </c>
      <c r="N397" s="11" t="n"/>
    </row>
    <row r="398">
      <c r="E398" s="11" t="n"/>
      <c r="F398" s="12">
        <f>IF($E398="","",DATEDIF($E398,TODAY(),"Y"))</f>
        <v/>
      </c>
      <c r="N398" s="11" t="n"/>
    </row>
    <row r="399">
      <c r="E399" s="11" t="n"/>
      <c r="F399" s="12">
        <f>IF($E399="","",DATEDIF($E399,TODAY(),"Y"))</f>
        <v/>
      </c>
      <c r="N399" s="11" t="n"/>
    </row>
    <row r="400">
      <c r="E400" s="11" t="n"/>
      <c r="F400" s="12">
        <f>IF($E400="","",DATEDIF($E400,TODAY(),"Y"))</f>
        <v/>
      </c>
      <c r="N400" s="11" t="n"/>
    </row>
    <row r="401">
      <c r="E401" s="11" t="n"/>
      <c r="F401" s="12">
        <f>IF($E401="","",DATEDIF($E401,TODAY(),"Y"))</f>
        <v/>
      </c>
      <c r="N401" s="11" t="n"/>
    </row>
    <row r="402">
      <c r="E402" s="11" t="n"/>
      <c r="F402" s="12">
        <f>IF($E402="","",DATEDIF($E402,TODAY(),"Y"))</f>
        <v/>
      </c>
      <c r="N402" s="11" t="n"/>
    </row>
    <row r="403">
      <c r="E403" s="11" t="n"/>
      <c r="F403" s="12">
        <f>IF($E403="","",DATEDIF($E403,TODAY(),"Y"))</f>
        <v/>
      </c>
      <c r="N403" s="11" t="n"/>
    </row>
    <row r="404">
      <c r="E404" s="11" t="n"/>
      <c r="F404" s="12">
        <f>IF($E404="","",DATEDIF($E404,TODAY(),"Y"))</f>
        <v/>
      </c>
      <c r="N404" s="11" t="n"/>
    </row>
    <row r="405">
      <c r="E405" s="11" t="n"/>
      <c r="F405" s="12">
        <f>IF($E405="","",DATEDIF($E405,TODAY(),"Y"))</f>
        <v/>
      </c>
      <c r="N405" s="11" t="n"/>
    </row>
    <row r="406">
      <c r="E406" s="11" t="n"/>
      <c r="F406" s="12">
        <f>IF($E406="","",DATEDIF($E406,TODAY(),"Y"))</f>
        <v/>
      </c>
      <c r="N406" s="11" t="n"/>
    </row>
    <row r="407">
      <c r="E407" s="11" t="n"/>
      <c r="F407" s="12">
        <f>IF($E407="","",DATEDIF($E407,TODAY(),"Y"))</f>
        <v/>
      </c>
      <c r="N407" s="11" t="n"/>
    </row>
    <row r="408">
      <c r="E408" s="11" t="n"/>
      <c r="F408" s="12">
        <f>IF($E408="","",DATEDIF($E408,TODAY(),"Y"))</f>
        <v/>
      </c>
      <c r="N408" s="11" t="n"/>
    </row>
    <row r="409">
      <c r="E409" s="11" t="n"/>
      <c r="F409" s="12">
        <f>IF($E409="","",DATEDIF($E409,TODAY(),"Y"))</f>
        <v/>
      </c>
      <c r="N409" s="11" t="n"/>
    </row>
    <row r="410">
      <c r="E410" s="11" t="n"/>
      <c r="F410" s="12">
        <f>IF($E410="","",DATEDIF($E410,TODAY(),"Y"))</f>
        <v/>
      </c>
      <c r="N410" s="11" t="n"/>
    </row>
    <row r="411">
      <c r="E411" s="11" t="n"/>
      <c r="F411" s="12">
        <f>IF($E411="","",DATEDIF($E411,TODAY(),"Y"))</f>
        <v/>
      </c>
      <c r="N411" s="11" t="n"/>
    </row>
    <row r="412">
      <c r="E412" s="11" t="n"/>
      <c r="F412" s="12">
        <f>IF($E412="","",DATEDIF($E412,TODAY(),"Y"))</f>
        <v/>
      </c>
      <c r="N412" s="11" t="n"/>
    </row>
    <row r="413">
      <c r="E413" s="11" t="n"/>
      <c r="F413" s="12">
        <f>IF($E413="","",DATEDIF($E413,TODAY(),"Y"))</f>
        <v/>
      </c>
      <c r="N413" s="11" t="n"/>
    </row>
    <row r="414">
      <c r="E414" s="11" t="n"/>
      <c r="F414" s="12">
        <f>IF($E414="","",DATEDIF($E414,TODAY(),"Y"))</f>
        <v/>
      </c>
      <c r="N414" s="11" t="n"/>
    </row>
    <row r="415">
      <c r="E415" s="11" t="n"/>
      <c r="F415" s="12">
        <f>IF($E415="","",DATEDIF($E415,TODAY(),"Y"))</f>
        <v/>
      </c>
      <c r="N415" s="11" t="n"/>
    </row>
    <row r="416">
      <c r="E416" s="11" t="n"/>
      <c r="F416" s="12">
        <f>IF($E416="","",DATEDIF($E416,TODAY(),"Y"))</f>
        <v/>
      </c>
      <c r="N416" s="11" t="n"/>
    </row>
    <row r="417">
      <c r="E417" s="11" t="n"/>
      <c r="F417" s="12">
        <f>IF($E417="","",DATEDIF($E417,TODAY(),"Y"))</f>
        <v/>
      </c>
      <c r="N417" s="11" t="n"/>
    </row>
    <row r="418">
      <c r="E418" s="11" t="n"/>
      <c r="F418" s="12">
        <f>IF($E418="","",DATEDIF($E418,TODAY(),"Y"))</f>
        <v/>
      </c>
      <c r="N418" s="11" t="n"/>
    </row>
    <row r="419">
      <c r="E419" s="11" t="n"/>
      <c r="F419" s="12">
        <f>IF($E419="","",DATEDIF($E419,TODAY(),"Y"))</f>
        <v/>
      </c>
      <c r="N419" s="11" t="n"/>
    </row>
    <row r="420">
      <c r="E420" s="11" t="n"/>
      <c r="F420" s="12">
        <f>IF($E420="","",DATEDIF($E420,TODAY(),"Y"))</f>
        <v/>
      </c>
      <c r="N420" s="11" t="n"/>
    </row>
    <row r="421">
      <c r="E421" s="11" t="n"/>
      <c r="F421" s="12">
        <f>IF($E421="","",DATEDIF($E421,TODAY(),"Y"))</f>
        <v/>
      </c>
      <c r="N421" s="11" t="n"/>
    </row>
    <row r="422">
      <c r="E422" s="11" t="n"/>
      <c r="F422" s="12">
        <f>IF($E422="","",DATEDIF($E422,TODAY(),"Y"))</f>
        <v/>
      </c>
      <c r="N422" s="11" t="n"/>
    </row>
    <row r="423">
      <c r="E423" s="11" t="n"/>
      <c r="F423" s="12">
        <f>IF($E423="","",DATEDIF($E423,TODAY(),"Y"))</f>
        <v/>
      </c>
      <c r="N423" s="11" t="n"/>
    </row>
    <row r="424">
      <c r="E424" s="11" t="n"/>
      <c r="F424" s="12">
        <f>IF($E424="","",DATEDIF($E424,TODAY(),"Y"))</f>
        <v/>
      </c>
      <c r="N424" s="11" t="n"/>
    </row>
    <row r="425">
      <c r="E425" s="11" t="n"/>
      <c r="F425" s="12">
        <f>IF($E425="","",DATEDIF($E425,TODAY(),"Y"))</f>
        <v/>
      </c>
      <c r="N425" s="11" t="n"/>
    </row>
    <row r="426">
      <c r="E426" s="11" t="n"/>
      <c r="F426" s="12">
        <f>IF($E426="","",DATEDIF($E426,TODAY(),"Y"))</f>
        <v/>
      </c>
      <c r="N426" s="11" t="n"/>
    </row>
    <row r="427">
      <c r="E427" s="11" t="n"/>
      <c r="F427" s="12">
        <f>IF($E427="","",DATEDIF($E427,TODAY(),"Y"))</f>
        <v/>
      </c>
      <c r="N427" s="11" t="n"/>
    </row>
    <row r="428">
      <c r="E428" s="11" t="n"/>
      <c r="F428" s="12">
        <f>IF($E428="","",DATEDIF($E428,TODAY(),"Y"))</f>
        <v/>
      </c>
      <c r="N428" s="11" t="n"/>
    </row>
    <row r="429">
      <c r="E429" s="11" t="n"/>
      <c r="F429" s="12">
        <f>IF($E429="","",DATEDIF($E429,TODAY(),"Y"))</f>
        <v/>
      </c>
      <c r="N429" s="11" t="n"/>
    </row>
    <row r="430">
      <c r="E430" s="11" t="n"/>
      <c r="F430" s="12">
        <f>IF($E430="","",DATEDIF($E430,TODAY(),"Y"))</f>
        <v/>
      </c>
      <c r="N430" s="11" t="n"/>
    </row>
    <row r="431">
      <c r="E431" s="11" t="n"/>
      <c r="F431" s="12">
        <f>IF($E431="","",DATEDIF($E431,TODAY(),"Y"))</f>
        <v/>
      </c>
      <c r="N431" s="11" t="n"/>
    </row>
    <row r="432">
      <c r="E432" s="11" t="n"/>
      <c r="F432" s="12">
        <f>IF($E432="","",DATEDIF($E432,TODAY(),"Y"))</f>
        <v/>
      </c>
      <c r="N432" s="11" t="n"/>
    </row>
    <row r="433">
      <c r="E433" s="11" t="n"/>
      <c r="F433" s="12">
        <f>IF($E433="","",DATEDIF($E433,TODAY(),"Y"))</f>
        <v/>
      </c>
      <c r="N433" s="11" t="n"/>
    </row>
    <row r="434">
      <c r="E434" s="11" t="n"/>
      <c r="F434" s="12">
        <f>IF($E434="","",DATEDIF($E434,TODAY(),"Y"))</f>
        <v/>
      </c>
      <c r="N434" s="11" t="n"/>
    </row>
    <row r="435">
      <c r="E435" s="11" t="n"/>
      <c r="F435" s="12">
        <f>IF($E435="","",DATEDIF($E435,TODAY(),"Y"))</f>
        <v/>
      </c>
      <c r="N435" s="11" t="n"/>
    </row>
    <row r="436">
      <c r="E436" s="11" t="n"/>
      <c r="F436" s="12">
        <f>IF($E436="","",DATEDIF($E436,TODAY(),"Y"))</f>
        <v/>
      </c>
      <c r="N436" s="11" t="n"/>
    </row>
    <row r="437">
      <c r="E437" s="11" t="n"/>
      <c r="F437" s="12">
        <f>IF($E437="","",DATEDIF($E437,TODAY(),"Y"))</f>
        <v/>
      </c>
      <c r="N437" s="11" t="n"/>
    </row>
    <row r="438">
      <c r="E438" s="11" t="n"/>
      <c r="F438" s="12">
        <f>IF($E438="","",DATEDIF($E438,TODAY(),"Y"))</f>
        <v/>
      </c>
      <c r="N438" s="11" t="n"/>
    </row>
    <row r="439">
      <c r="E439" s="11" t="n"/>
      <c r="F439" s="12">
        <f>IF($E439="","",DATEDIF($E439,TODAY(),"Y"))</f>
        <v/>
      </c>
      <c r="N439" s="11" t="n"/>
    </row>
    <row r="440">
      <c r="E440" s="11" t="n"/>
      <c r="F440" s="12">
        <f>IF($E440="","",DATEDIF($E440,TODAY(),"Y"))</f>
        <v/>
      </c>
      <c r="N440" s="11" t="n"/>
    </row>
    <row r="441">
      <c r="E441" s="11" t="n"/>
      <c r="F441" s="12">
        <f>IF($E441="","",DATEDIF($E441,TODAY(),"Y"))</f>
        <v/>
      </c>
      <c r="N441" s="11" t="n"/>
    </row>
    <row r="442">
      <c r="E442" s="11" t="n"/>
      <c r="F442" s="12">
        <f>IF($E442="","",DATEDIF($E442,TODAY(),"Y"))</f>
        <v/>
      </c>
      <c r="N442" s="11" t="n"/>
    </row>
    <row r="443">
      <c r="E443" s="11" t="n"/>
      <c r="F443" s="12">
        <f>IF($E443="","",DATEDIF($E443,TODAY(),"Y"))</f>
        <v/>
      </c>
      <c r="N443" s="11" t="n"/>
    </row>
    <row r="444">
      <c r="E444" s="11" t="n"/>
      <c r="F444" s="12">
        <f>IF($E444="","",DATEDIF($E444,TODAY(),"Y"))</f>
        <v/>
      </c>
      <c r="N444" s="11" t="n"/>
    </row>
    <row r="445">
      <c r="E445" s="11" t="n"/>
      <c r="F445" s="12">
        <f>IF($E445="","",DATEDIF($E445,TODAY(),"Y"))</f>
        <v/>
      </c>
      <c r="N445" s="11" t="n"/>
    </row>
    <row r="446">
      <c r="E446" s="11" t="n"/>
      <c r="F446" s="12">
        <f>IF($E446="","",DATEDIF($E446,TODAY(),"Y"))</f>
        <v/>
      </c>
      <c r="N446" s="11" t="n"/>
    </row>
    <row r="447">
      <c r="E447" s="11" t="n"/>
      <c r="F447" s="12">
        <f>IF($E447="","",DATEDIF($E447,TODAY(),"Y"))</f>
        <v/>
      </c>
      <c r="N447" s="11" t="n"/>
    </row>
    <row r="448">
      <c r="E448" s="11" t="n"/>
      <c r="F448" s="12">
        <f>IF($E448="","",DATEDIF($E448,TODAY(),"Y"))</f>
        <v/>
      </c>
      <c r="N448" s="11" t="n"/>
    </row>
    <row r="449">
      <c r="E449" s="11" t="n"/>
      <c r="F449" s="12">
        <f>IF($E449="","",DATEDIF($E449,TODAY(),"Y"))</f>
        <v/>
      </c>
      <c r="N449" s="11" t="n"/>
    </row>
    <row r="450">
      <c r="E450" s="11" t="n"/>
      <c r="F450" s="12">
        <f>IF($E450="","",DATEDIF($E450,TODAY(),"Y"))</f>
        <v/>
      </c>
      <c r="N450" s="11" t="n"/>
    </row>
    <row r="451">
      <c r="E451" s="11" t="n"/>
      <c r="F451" s="12">
        <f>IF($E451="","",DATEDIF($E451,TODAY(),"Y"))</f>
        <v/>
      </c>
      <c r="N451" s="11" t="n"/>
    </row>
    <row r="452">
      <c r="E452" s="11" t="n"/>
      <c r="F452" s="12">
        <f>IF($E452="","",DATEDIF($E452,TODAY(),"Y"))</f>
        <v/>
      </c>
      <c r="N452" s="11" t="n"/>
    </row>
    <row r="453">
      <c r="E453" s="11" t="n"/>
      <c r="F453" s="12">
        <f>IF($E453="","",DATEDIF($E453,TODAY(),"Y"))</f>
        <v/>
      </c>
      <c r="N453" s="11" t="n"/>
    </row>
    <row r="454">
      <c r="E454" s="11" t="n"/>
      <c r="F454" s="12">
        <f>IF($E454="","",DATEDIF($E454,TODAY(),"Y"))</f>
        <v/>
      </c>
      <c r="N454" s="11" t="n"/>
    </row>
    <row r="455">
      <c r="E455" s="11" t="n"/>
      <c r="F455" s="12">
        <f>IF($E455="","",DATEDIF($E455,TODAY(),"Y"))</f>
        <v/>
      </c>
      <c r="N455" s="11" t="n"/>
    </row>
    <row r="456">
      <c r="E456" s="11" t="n"/>
      <c r="F456" s="12">
        <f>IF($E456="","",DATEDIF($E456,TODAY(),"Y"))</f>
        <v/>
      </c>
      <c r="N456" s="11" t="n"/>
    </row>
    <row r="457">
      <c r="E457" s="11" t="n"/>
      <c r="F457" s="12">
        <f>IF($E457="","",DATEDIF($E457,TODAY(),"Y"))</f>
        <v/>
      </c>
      <c r="N457" s="11" t="n"/>
    </row>
    <row r="458">
      <c r="E458" s="11" t="n"/>
      <c r="F458" s="12">
        <f>IF($E458="","",DATEDIF($E458,TODAY(),"Y"))</f>
        <v/>
      </c>
      <c r="N458" s="11" t="n"/>
    </row>
    <row r="459">
      <c r="E459" s="11" t="n"/>
      <c r="F459" s="12">
        <f>IF($E459="","",DATEDIF($E459,TODAY(),"Y"))</f>
        <v/>
      </c>
      <c r="N459" s="11" t="n"/>
    </row>
    <row r="460">
      <c r="E460" s="11" t="n"/>
      <c r="F460" s="12">
        <f>IF($E460="","",DATEDIF($E460,TODAY(),"Y"))</f>
        <v/>
      </c>
      <c r="N460" s="11" t="n"/>
    </row>
    <row r="461">
      <c r="E461" s="11" t="n"/>
      <c r="F461" s="12">
        <f>IF($E461="","",DATEDIF($E461,TODAY(),"Y"))</f>
        <v/>
      </c>
      <c r="N461" s="11" t="n"/>
    </row>
    <row r="462">
      <c r="E462" s="11" t="n"/>
      <c r="F462" s="12">
        <f>IF($E462="","",DATEDIF($E462,TODAY(),"Y"))</f>
        <v/>
      </c>
      <c r="N462" s="11" t="n"/>
    </row>
    <row r="463">
      <c r="E463" s="11" t="n"/>
      <c r="F463" s="12">
        <f>IF($E463="","",DATEDIF($E463,TODAY(),"Y"))</f>
        <v/>
      </c>
      <c r="N463" s="11" t="n"/>
    </row>
    <row r="464">
      <c r="E464" s="11" t="n"/>
      <c r="F464" s="12">
        <f>IF($E464="","",DATEDIF($E464,TODAY(),"Y"))</f>
        <v/>
      </c>
      <c r="N464" s="11" t="n"/>
    </row>
    <row r="465">
      <c r="E465" s="11" t="n"/>
      <c r="F465" s="12">
        <f>IF($E465="","",DATEDIF($E465,TODAY(),"Y"))</f>
        <v/>
      </c>
      <c r="N465" s="11" t="n"/>
    </row>
    <row r="466">
      <c r="E466" s="11" t="n"/>
      <c r="F466" s="12">
        <f>IF($E466="","",DATEDIF($E466,TODAY(),"Y"))</f>
        <v/>
      </c>
      <c r="N466" s="11" t="n"/>
    </row>
    <row r="467">
      <c r="E467" s="11" t="n"/>
      <c r="F467" s="12">
        <f>IF($E467="","",DATEDIF($E467,TODAY(),"Y"))</f>
        <v/>
      </c>
      <c r="N467" s="11" t="n"/>
    </row>
    <row r="468">
      <c r="E468" s="11" t="n"/>
      <c r="F468" s="12">
        <f>IF($E468="","",DATEDIF($E468,TODAY(),"Y"))</f>
        <v/>
      </c>
      <c r="N468" s="11" t="n"/>
    </row>
    <row r="469">
      <c r="E469" s="11" t="n"/>
      <c r="F469" s="12">
        <f>IF($E469="","",DATEDIF($E469,TODAY(),"Y"))</f>
        <v/>
      </c>
      <c r="N469" s="11" t="n"/>
    </row>
    <row r="470">
      <c r="E470" s="11" t="n"/>
      <c r="F470" s="12">
        <f>IF($E470="","",DATEDIF($E470,TODAY(),"Y"))</f>
        <v/>
      </c>
      <c r="N470" s="11" t="n"/>
    </row>
    <row r="471">
      <c r="E471" s="11" t="n"/>
      <c r="F471" s="12">
        <f>IF($E471="","",DATEDIF($E471,TODAY(),"Y"))</f>
        <v/>
      </c>
      <c r="N471" s="11" t="n"/>
    </row>
    <row r="472">
      <c r="E472" s="11" t="n"/>
      <c r="F472" s="12">
        <f>IF($E472="","",DATEDIF($E472,TODAY(),"Y"))</f>
        <v/>
      </c>
      <c r="N472" s="11" t="n"/>
    </row>
    <row r="473">
      <c r="E473" s="11" t="n"/>
      <c r="F473" s="12">
        <f>IF($E473="","",DATEDIF($E473,TODAY(),"Y"))</f>
        <v/>
      </c>
      <c r="N473" s="11" t="n"/>
    </row>
    <row r="474">
      <c r="E474" s="11" t="n"/>
      <c r="F474" s="12">
        <f>IF($E474="","",DATEDIF($E474,TODAY(),"Y"))</f>
        <v/>
      </c>
      <c r="N474" s="11" t="n"/>
    </row>
    <row r="475">
      <c r="E475" s="11" t="n"/>
      <c r="F475" s="12">
        <f>IF($E475="","",DATEDIF($E475,TODAY(),"Y"))</f>
        <v/>
      </c>
      <c r="N475" s="11" t="n"/>
    </row>
    <row r="476">
      <c r="E476" s="11" t="n"/>
      <c r="F476" s="12">
        <f>IF($E476="","",DATEDIF($E476,TODAY(),"Y"))</f>
        <v/>
      </c>
      <c r="N476" s="11" t="n"/>
    </row>
    <row r="477">
      <c r="E477" s="11" t="n"/>
      <c r="F477" s="12">
        <f>IF($E477="","",DATEDIF($E477,TODAY(),"Y"))</f>
        <v/>
      </c>
      <c r="N477" s="11" t="n"/>
    </row>
    <row r="478">
      <c r="E478" s="11" t="n"/>
      <c r="F478" s="12">
        <f>IF($E478="","",DATEDIF($E478,TODAY(),"Y"))</f>
        <v/>
      </c>
      <c r="N478" s="11" t="n"/>
    </row>
    <row r="479">
      <c r="E479" s="11" t="n"/>
      <c r="F479" s="12">
        <f>IF($E479="","",DATEDIF($E479,TODAY(),"Y"))</f>
        <v/>
      </c>
      <c r="N479" s="11" t="n"/>
    </row>
    <row r="480">
      <c r="E480" s="11" t="n"/>
      <c r="F480" s="12">
        <f>IF($E480="","",DATEDIF($E480,TODAY(),"Y"))</f>
        <v/>
      </c>
      <c r="N480" s="11" t="n"/>
    </row>
    <row r="481">
      <c r="E481" s="11" t="n"/>
      <c r="F481" s="12">
        <f>IF($E481="","",DATEDIF($E481,TODAY(),"Y"))</f>
        <v/>
      </c>
      <c r="N481" s="11" t="n"/>
    </row>
    <row r="482">
      <c r="E482" s="11" t="n"/>
      <c r="F482" s="12">
        <f>IF($E482="","",DATEDIF($E482,TODAY(),"Y"))</f>
        <v/>
      </c>
      <c r="N482" s="11" t="n"/>
    </row>
    <row r="483">
      <c r="E483" s="11" t="n"/>
      <c r="F483" s="12">
        <f>IF($E483="","",DATEDIF($E483,TODAY(),"Y"))</f>
        <v/>
      </c>
      <c r="N483" s="11" t="n"/>
    </row>
    <row r="484">
      <c r="E484" s="11" t="n"/>
      <c r="F484" s="12">
        <f>IF($E484="","",DATEDIF($E484,TODAY(),"Y"))</f>
        <v/>
      </c>
      <c r="N484" s="11" t="n"/>
    </row>
    <row r="485">
      <c r="E485" s="11" t="n"/>
      <c r="F485" s="12">
        <f>IF($E485="","",DATEDIF($E485,TODAY(),"Y"))</f>
        <v/>
      </c>
      <c r="N485" s="11" t="n"/>
    </row>
    <row r="486">
      <c r="E486" s="11" t="n"/>
      <c r="F486" s="12">
        <f>IF($E486="","",DATEDIF($E486,TODAY(),"Y"))</f>
        <v/>
      </c>
      <c r="N486" s="11" t="n"/>
    </row>
    <row r="487">
      <c r="E487" s="11" t="n"/>
      <c r="F487" s="12">
        <f>IF($E487="","",DATEDIF($E487,TODAY(),"Y"))</f>
        <v/>
      </c>
      <c r="N487" s="11" t="n"/>
    </row>
    <row r="488">
      <c r="E488" s="11" t="n"/>
      <c r="F488" s="12">
        <f>IF($E488="","",DATEDIF($E488,TODAY(),"Y"))</f>
        <v/>
      </c>
      <c r="N488" s="11" t="n"/>
    </row>
    <row r="489">
      <c r="E489" s="11" t="n"/>
      <c r="F489" s="12">
        <f>IF($E489="","",DATEDIF($E489,TODAY(),"Y"))</f>
        <v/>
      </c>
      <c r="N489" s="11" t="n"/>
    </row>
    <row r="490">
      <c r="E490" s="11" t="n"/>
      <c r="F490" s="12">
        <f>IF($E490="","",DATEDIF($E490,TODAY(),"Y"))</f>
        <v/>
      </c>
      <c r="N490" s="11" t="n"/>
    </row>
    <row r="491">
      <c r="E491" s="11" t="n"/>
      <c r="F491" s="12">
        <f>IF($E491="","",DATEDIF($E491,TODAY(),"Y"))</f>
        <v/>
      </c>
      <c r="N491" s="11" t="n"/>
    </row>
    <row r="492">
      <c r="E492" s="11" t="n"/>
      <c r="F492" s="12">
        <f>IF($E492="","",DATEDIF($E492,TODAY(),"Y"))</f>
        <v/>
      </c>
      <c r="N492" s="11" t="n"/>
    </row>
    <row r="493">
      <c r="E493" s="11" t="n"/>
      <c r="F493" s="12">
        <f>IF($E493="","",DATEDIF($E493,TODAY(),"Y"))</f>
        <v/>
      </c>
      <c r="N493" s="11" t="n"/>
    </row>
    <row r="494">
      <c r="E494" s="11" t="n"/>
      <c r="F494" s="12">
        <f>IF($E494="","",DATEDIF($E494,TODAY(),"Y"))</f>
        <v/>
      </c>
      <c r="N494" s="11" t="n"/>
    </row>
    <row r="495">
      <c r="E495" s="11" t="n"/>
      <c r="F495" s="12">
        <f>IF($E495="","",DATEDIF($E495,TODAY(),"Y"))</f>
        <v/>
      </c>
      <c r="N495" s="11" t="n"/>
    </row>
    <row r="496">
      <c r="E496" s="11" t="n"/>
      <c r="F496" s="12">
        <f>IF($E496="","",DATEDIF($E496,TODAY(),"Y"))</f>
        <v/>
      </c>
      <c r="N496" s="11" t="n"/>
    </row>
    <row r="497">
      <c r="E497" s="11" t="n"/>
      <c r="F497" s="12">
        <f>IF($E497="","",DATEDIF($E497,TODAY(),"Y"))</f>
        <v/>
      </c>
      <c r="N497" s="11" t="n"/>
    </row>
    <row r="498">
      <c r="E498" s="11" t="n"/>
      <c r="F498" s="12">
        <f>IF($E498="","",DATEDIF($E498,TODAY(),"Y"))</f>
        <v/>
      </c>
      <c r="N498" s="11" t="n"/>
    </row>
    <row r="499">
      <c r="E499" s="11" t="n"/>
      <c r="F499" s="12">
        <f>IF($E499="","",DATEDIF($E499,TODAY(),"Y"))</f>
        <v/>
      </c>
      <c r="N499" s="11" t="n"/>
    </row>
    <row r="500">
      <c r="E500" s="11" t="n"/>
      <c r="F500" s="12">
        <f>IF($E500="","",DATEDIF($E500,TODAY(),"Y"))</f>
        <v/>
      </c>
      <c r="N500" s="11" t="n"/>
    </row>
    <row r="501">
      <c r="E501" s="11" t="n"/>
      <c r="F501" s="12">
        <f>IF($E501="","",DATEDIF($E501,TODAY(),"Y"))</f>
        <v/>
      </c>
      <c r="N501" s="11" t="n"/>
    </row>
    <row r="502">
      <c r="E502" s="11" t="n"/>
      <c r="F502" s="12">
        <f>IF($E502="","",DATEDIF($E502,TODAY(),"Y"))</f>
        <v/>
      </c>
      <c r="N502" s="11" t="n"/>
    </row>
    <row r="503">
      <c r="E503" s="11" t="n"/>
      <c r="F503" s="12">
        <f>IF($E503="","",DATEDIF($E503,TODAY(),"Y"))</f>
        <v/>
      </c>
      <c r="N503" s="11" t="n"/>
    </row>
    <row r="504">
      <c r="E504" s="11" t="n"/>
      <c r="F504" s="12">
        <f>IF($E504="","",DATEDIF($E504,TODAY(),"Y"))</f>
        <v/>
      </c>
      <c r="N504" s="11" t="n"/>
    </row>
    <row r="505">
      <c r="E505" s="11" t="n"/>
      <c r="F505" s="12">
        <f>IF($E505="","",DATEDIF($E505,TODAY(),"Y"))</f>
        <v/>
      </c>
      <c r="N505" s="11" t="n"/>
    </row>
    <row r="506">
      <c r="E506" s="11" t="n"/>
      <c r="F506" s="12">
        <f>IF($E506="","",DATEDIF($E506,TODAY(),"Y"))</f>
        <v/>
      </c>
      <c r="N506" s="11" t="n"/>
    </row>
    <row r="507">
      <c r="E507" s="11" t="n"/>
      <c r="F507" s="12">
        <f>IF($E507="","",DATEDIF($E507,TODAY(),"Y"))</f>
        <v/>
      </c>
      <c r="N507" s="11" t="n"/>
    </row>
    <row r="508">
      <c r="E508" s="11" t="n"/>
      <c r="F508" s="12">
        <f>IF($E508="","",DATEDIF($E508,TODAY(),"Y"))</f>
        <v/>
      </c>
      <c r="N508" s="11" t="n"/>
    </row>
    <row r="509">
      <c r="E509" s="11" t="n"/>
      <c r="F509" s="12">
        <f>IF($E509="","",DATEDIF($E509,TODAY(),"Y"))</f>
        <v/>
      </c>
      <c r="N509" s="11" t="n"/>
    </row>
    <row r="510">
      <c r="E510" s="11" t="n"/>
      <c r="F510" s="12">
        <f>IF($E510="","",DATEDIF($E510,TODAY(),"Y"))</f>
        <v/>
      </c>
      <c r="N510" s="11" t="n"/>
    </row>
    <row r="511">
      <c r="E511" s="11" t="n"/>
      <c r="F511" s="12">
        <f>IF($E511="","",DATEDIF($E511,TODAY(),"Y"))</f>
        <v/>
      </c>
      <c r="N511" s="11" t="n"/>
    </row>
    <row r="512">
      <c r="E512" s="11" t="n"/>
      <c r="F512" s="12">
        <f>IF($E512="","",DATEDIF($E512,TODAY(),"Y"))</f>
        <v/>
      </c>
      <c r="N512" s="11" t="n"/>
    </row>
    <row r="513">
      <c r="E513" s="11" t="n"/>
      <c r="F513" s="12">
        <f>IF($E513="","",DATEDIF($E513,TODAY(),"Y"))</f>
        <v/>
      </c>
      <c r="N513" s="11" t="n"/>
    </row>
    <row r="514">
      <c r="E514" s="11" t="n"/>
      <c r="F514" s="12">
        <f>IF($E514="","",DATEDIF($E514,TODAY(),"Y"))</f>
        <v/>
      </c>
      <c r="N514" s="11" t="n"/>
    </row>
    <row r="515">
      <c r="E515" s="11" t="n"/>
      <c r="F515" s="12">
        <f>IF($E515="","",DATEDIF($E515,TODAY(),"Y"))</f>
        <v/>
      </c>
      <c r="N515" s="11" t="n"/>
    </row>
    <row r="516">
      <c r="E516" s="11" t="n"/>
      <c r="F516" s="12">
        <f>IF($E516="","",DATEDIF($E516,TODAY(),"Y"))</f>
        <v/>
      </c>
      <c r="N516" s="11" t="n"/>
    </row>
    <row r="517">
      <c r="E517" s="11" t="n"/>
      <c r="F517" s="12">
        <f>IF($E517="","",DATEDIF($E517,TODAY(),"Y"))</f>
        <v/>
      </c>
      <c r="N517" s="11" t="n"/>
    </row>
    <row r="518">
      <c r="E518" s="11" t="n"/>
      <c r="F518" s="12">
        <f>IF($E518="","",DATEDIF($E518,TODAY(),"Y"))</f>
        <v/>
      </c>
      <c r="N518" s="11" t="n"/>
    </row>
    <row r="519">
      <c r="E519" s="11" t="n"/>
      <c r="F519" s="12">
        <f>IF($E519="","",DATEDIF($E519,TODAY(),"Y"))</f>
        <v/>
      </c>
      <c r="N519" s="11" t="n"/>
    </row>
    <row r="520">
      <c r="E520" s="11" t="n"/>
      <c r="F520" s="12">
        <f>IF($E520="","",DATEDIF($E520,TODAY(),"Y"))</f>
        <v/>
      </c>
      <c r="N520" s="11" t="n"/>
    </row>
    <row r="521">
      <c r="E521" s="11" t="n"/>
      <c r="F521" s="12">
        <f>IF($E521="","",DATEDIF($E521,TODAY(),"Y"))</f>
        <v/>
      </c>
      <c r="N521" s="11" t="n"/>
    </row>
    <row r="522">
      <c r="E522" s="11" t="n"/>
      <c r="F522" s="12">
        <f>IF($E522="","",DATEDIF($E522,TODAY(),"Y"))</f>
        <v/>
      </c>
      <c r="N522" s="11" t="n"/>
    </row>
    <row r="523">
      <c r="E523" s="11" t="n"/>
      <c r="F523" s="12">
        <f>IF($E523="","",DATEDIF($E523,TODAY(),"Y"))</f>
        <v/>
      </c>
      <c r="N523" s="11" t="n"/>
    </row>
    <row r="524">
      <c r="E524" s="11" t="n"/>
      <c r="F524" s="12">
        <f>IF($E524="","",DATEDIF($E524,TODAY(),"Y"))</f>
        <v/>
      </c>
      <c r="N524" s="11" t="n"/>
    </row>
    <row r="525">
      <c r="E525" s="11" t="n"/>
      <c r="F525" s="12">
        <f>IF($E525="","",DATEDIF($E525,TODAY(),"Y"))</f>
        <v/>
      </c>
      <c r="N525" s="11" t="n"/>
    </row>
    <row r="526">
      <c r="E526" s="11" t="n"/>
      <c r="F526" s="12">
        <f>IF($E526="","",DATEDIF($E526,TODAY(),"Y"))</f>
        <v/>
      </c>
      <c r="N526" s="11" t="n"/>
    </row>
    <row r="527">
      <c r="E527" s="11" t="n"/>
      <c r="F527" s="12">
        <f>IF($E527="","",DATEDIF($E527,TODAY(),"Y"))</f>
        <v/>
      </c>
      <c r="N527" s="11" t="n"/>
    </row>
    <row r="528">
      <c r="E528" s="11" t="n"/>
      <c r="F528" s="12">
        <f>IF($E528="","",DATEDIF($E528,TODAY(),"Y"))</f>
        <v/>
      </c>
      <c r="N528" s="11" t="n"/>
    </row>
    <row r="529">
      <c r="E529" s="11" t="n"/>
      <c r="F529" s="12">
        <f>IF($E529="","",DATEDIF($E529,TODAY(),"Y"))</f>
        <v/>
      </c>
      <c r="N529" s="11" t="n"/>
    </row>
    <row r="530">
      <c r="E530" s="11" t="n"/>
      <c r="F530" s="12">
        <f>IF($E530="","",DATEDIF($E530,TODAY(),"Y"))</f>
        <v/>
      </c>
      <c r="N530" s="11" t="n"/>
    </row>
    <row r="531">
      <c r="E531" s="11" t="n"/>
      <c r="F531" s="12">
        <f>IF($E531="","",DATEDIF($E531,TODAY(),"Y"))</f>
        <v/>
      </c>
      <c r="N531" s="11" t="n"/>
    </row>
    <row r="532">
      <c r="E532" s="11" t="n"/>
      <c r="F532" s="12">
        <f>IF($E532="","",DATEDIF($E532,TODAY(),"Y"))</f>
        <v/>
      </c>
      <c r="N532" s="11" t="n"/>
    </row>
    <row r="533">
      <c r="E533" s="11" t="n"/>
      <c r="F533" s="12">
        <f>IF($E533="","",DATEDIF($E533,TODAY(),"Y"))</f>
        <v/>
      </c>
      <c r="N533" s="11" t="n"/>
    </row>
    <row r="534">
      <c r="E534" s="11" t="n"/>
      <c r="F534" s="12">
        <f>IF($E534="","",DATEDIF($E534,TODAY(),"Y"))</f>
        <v/>
      </c>
      <c r="N534" s="11" t="n"/>
    </row>
    <row r="535">
      <c r="E535" s="11" t="n"/>
      <c r="F535" s="12">
        <f>IF($E535="","",DATEDIF($E535,TODAY(),"Y"))</f>
        <v/>
      </c>
      <c r="N535" s="11" t="n"/>
    </row>
    <row r="536">
      <c r="E536" s="11" t="n"/>
      <c r="F536" s="12">
        <f>IF($E536="","",DATEDIF($E536,TODAY(),"Y"))</f>
        <v/>
      </c>
      <c r="N536" s="11" t="n"/>
    </row>
    <row r="537">
      <c r="E537" s="11" t="n"/>
      <c r="F537" s="12">
        <f>IF($E537="","",DATEDIF($E537,TODAY(),"Y"))</f>
        <v/>
      </c>
      <c r="N537" s="11" t="n"/>
    </row>
    <row r="538">
      <c r="E538" s="11" t="n"/>
      <c r="F538" s="12">
        <f>IF($E538="","",DATEDIF($E538,TODAY(),"Y"))</f>
        <v/>
      </c>
      <c r="N538" s="11" t="n"/>
    </row>
    <row r="539">
      <c r="E539" s="11" t="n"/>
      <c r="F539" s="12">
        <f>IF($E539="","",DATEDIF($E539,TODAY(),"Y"))</f>
        <v/>
      </c>
      <c r="N539" s="11" t="n"/>
    </row>
    <row r="540">
      <c r="E540" s="11" t="n"/>
      <c r="F540" s="12">
        <f>IF($E540="","",DATEDIF($E540,TODAY(),"Y"))</f>
        <v/>
      </c>
      <c r="N540" s="11" t="n"/>
    </row>
    <row r="541">
      <c r="E541" s="11" t="n"/>
      <c r="F541" s="12">
        <f>IF($E541="","",DATEDIF($E541,TODAY(),"Y"))</f>
        <v/>
      </c>
      <c r="N541" s="11" t="n"/>
    </row>
    <row r="542">
      <c r="E542" s="11" t="n"/>
      <c r="F542" s="12">
        <f>IF($E542="","",DATEDIF($E542,TODAY(),"Y"))</f>
        <v/>
      </c>
      <c r="N542" s="11" t="n"/>
    </row>
    <row r="543">
      <c r="E543" s="11" t="n"/>
      <c r="F543" s="12">
        <f>IF($E543="","",DATEDIF($E543,TODAY(),"Y"))</f>
        <v/>
      </c>
      <c r="N543" s="11" t="n"/>
    </row>
    <row r="544">
      <c r="E544" s="11" t="n"/>
      <c r="F544" s="12">
        <f>IF($E544="","",DATEDIF($E544,TODAY(),"Y"))</f>
        <v/>
      </c>
      <c r="N544" s="11" t="n"/>
    </row>
    <row r="545">
      <c r="E545" s="11" t="n"/>
      <c r="F545" s="12">
        <f>IF($E545="","",DATEDIF($E545,TODAY(),"Y"))</f>
        <v/>
      </c>
      <c r="N545" s="11" t="n"/>
    </row>
    <row r="546">
      <c r="E546" s="11" t="n"/>
      <c r="F546" s="12">
        <f>IF($E546="","",DATEDIF($E546,TODAY(),"Y"))</f>
        <v/>
      </c>
      <c r="N546" s="11" t="n"/>
    </row>
    <row r="547">
      <c r="E547" s="11" t="n"/>
      <c r="F547" s="12">
        <f>IF($E547="","",DATEDIF($E547,TODAY(),"Y"))</f>
        <v/>
      </c>
      <c r="N547" s="11" t="n"/>
    </row>
    <row r="548">
      <c r="E548" s="11" t="n"/>
      <c r="F548" s="12">
        <f>IF($E548="","",DATEDIF($E548,TODAY(),"Y"))</f>
        <v/>
      </c>
      <c r="N548" s="11" t="n"/>
    </row>
    <row r="549">
      <c r="E549" s="11" t="n"/>
      <c r="F549" s="12">
        <f>IF($E549="","",DATEDIF($E549,TODAY(),"Y"))</f>
        <v/>
      </c>
      <c r="N549" s="11" t="n"/>
    </row>
    <row r="550">
      <c r="E550" s="11" t="n"/>
      <c r="F550" s="12">
        <f>IF($E550="","",DATEDIF($E550,TODAY(),"Y"))</f>
        <v/>
      </c>
      <c r="N550" s="11" t="n"/>
    </row>
    <row r="551">
      <c r="E551" s="11" t="n"/>
      <c r="F551" s="12">
        <f>IF($E551="","",DATEDIF($E551,TODAY(),"Y"))</f>
        <v/>
      </c>
      <c r="N551" s="11" t="n"/>
    </row>
    <row r="552">
      <c r="E552" s="11" t="n"/>
      <c r="F552" s="12">
        <f>IF($E552="","",DATEDIF($E552,TODAY(),"Y"))</f>
        <v/>
      </c>
      <c r="N552" s="11" t="n"/>
    </row>
    <row r="553">
      <c r="E553" s="11" t="n"/>
      <c r="F553" s="12">
        <f>IF($E553="","",DATEDIF($E553,TODAY(),"Y"))</f>
        <v/>
      </c>
      <c r="N553" s="11" t="n"/>
    </row>
    <row r="554">
      <c r="E554" s="11" t="n"/>
      <c r="F554" s="12">
        <f>IF($E554="","",DATEDIF($E554,TODAY(),"Y"))</f>
        <v/>
      </c>
      <c r="N554" s="11" t="n"/>
    </row>
    <row r="555">
      <c r="E555" s="11" t="n"/>
      <c r="F555" s="12">
        <f>IF($E555="","",DATEDIF($E555,TODAY(),"Y"))</f>
        <v/>
      </c>
      <c r="N555" s="11" t="n"/>
    </row>
    <row r="556">
      <c r="E556" s="11" t="n"/>
      <c r="F556" s="12">
        <f>IF($E556="","",DATEDIF($E556,TODAY(),"Y"))</f>
        <v/>
      </c>
      <c r="N556" s="11" t="n"/>
    </row>
    <row r="557">
      <c r="E557" s="11" t="n"/>
      <c r="F557" s="12">
        <f>IF($E557="","",DATEDIF($E557,TODAY(),"Y"))</f>
        <v/>
      </c>
      <c r="N557" s="11" t="n"/>
    </row>
    <row r="558">
      <c r="E558" s="11" t="n"/>
      <c r="F558" s="12">
        <f>IF($E558="","",DATEDIF($E558,TODAY(),"Y"))</f>
        <v/>
      </c>
      <c r="N558" s="11" t="n"/>
    </row>
    <row r="559">
      <c r="E559" s="11" t="n"/>
      <c r="F559" s="12">
        <f>IF($E559="","",DATEDIF($E559,TODAY(),"Y"))</f>
        <v/>
      </c>
      <c r="N559" s="11" t="n"/>
    </row>
    <row r="560">
      <c r="E560" s="11" t="n"/>
      <c r="F560" s="12">
        <f>IF($E560="","",DATEDIF($E560,TODAY(),"Y"))</f>
        <v/>
      </c>
      <c r="N560" s="11" t="n"/>
    </row>
    <row r="561">
      <c r="E561" s="11" t="n"/>
      <c r="F561" s="12">
        <f>IF($E561="","",DATEDIF($E561,TODAY(),"Y"))</f>
        <v/>
      </c>
      <c r="N561" s="11" t="n"/>
    </row>
    <row r="562">
      <c r="E562" s="11" t="n"/>
      <c r="F562" s="12">
        <f>IF($E562="","",DATEDIF($E562,TODAY(),"Y"))</f>
        <v/>
      </c>
      <c r="N562" s="11" t="n"/>
    </row>
    <row r="563">
      <c r="E563" s="11" t="n"/>
      <c r="F563" s="12">
        <f>IF($E563="","",DATEDIF($E563,TODAY(),"Y"))</f>
        <v/>
      </c>
      <c r="N563" s="11" t="n"/>
    </row>
    <row r="564">
      <c r="E564" s="11" t="n"/>
      <c r="F564" s="12">
        <f>IF($E564="","",DATEDIF($E564,TODAY(),"Y"))</f>
        <v/>
      </c>
      <c r="N564" s="11" t="n"/>
    </row>
    <row r="565">
      <c r="E565" s="11" t="n"/>
      <c r="F565" s="12">
        <f>IF($E565="","",DATEDIF($E565,TODAY(),"Y"))</f>
        <v/>
      </c>
      <c r="N565" s="11" t="n"/>
    </row>
    <row r="566">
      <c r="E566" s="11" t="n"/>
      <c r="F566" s="12">
        <f>IF($E566="","",DATEDIF($E566,TODAY(),"Y"))</f>
        <v/>
      </c>
      <c r="N566" s="11" t="n"/>
    </row>
    <row r="567">
      <c r="E567" s="11" t="n"/>
      <c r="F567" s="12">
        <f>IF($E567="","",DATEDIF($E567,TODAY(),"Y"))</f>
        <v/>
      </c>
      <c r="N567" s="11" t="n"/>
    </row>
    <row r="568">
      <c r="E568" s="11" t="n"/>
      <c r="F568" s="12">
        <f>IF($E568="","",DATEDIF($E568,TODAY(),"Y"))</f>
        <v/>
      </c>
      <c r="N568" s="11" t="n"/>
    </row>
    <row r="569">
      <c r="E569" s="11" t="n"/>
      <c r="F569" s="12">
        <f>IF($E569="","",DATEDIF($E569,TODAY(),"Y"))</f>
        <v/>
      </c>
      <c r="N569" s="11" t="n"/>
    </row>
    <row r="570">
      <c r="E570" s="11" t="n"/>
      <c r="F570" s="12">
        <f>IF($E570="","",DATEDIF($E570,TODAY(),"Y"))</f>
        <v/>
      </c>
      <c r="N570" s="11" t="n"/>
    </row>
    <row r="571">
      <c r="E571" s="11" t="n"/>
      <c r="F571" s="12">
        <f>IF($E571="","",DATEDIF($E571,TODAY(),"Y"))</f>
        <v/>
      </c>
      <c r="N571" s="11" t="n"/>
    </row>
    <row r="572">
      <c r="E572" s="11" t="n"/>
      <c r="F572" s="12">
        <f>IF($E572="","",DATEDIF($E572,TODAY(),"Y"))</f>
        <v/>
      </c>
      <c r="N572" s="11" t="n"/>
    </row>
    <row r="573">
      <c r="E573" s="11" t="n"/>
      <c r="F573" s="12">
        <f>IF($E573="","",DATEDIF($E573,TODAY(),"Y"))</f>
        <v/>
      </c>
      <c r="N573" s="11" t="n"/>
    </row>
    <row r="574">
      <c r="E574" s="11" t="n"/>
      <c r="F574" s="12">
        <f>IF($E574="","",DATEDIF($E574,TODAY(),"Y"))</f>
        <v/>
      </c>
      <c r="N574" s="11" t="n"/>
    </row>
    <row r="575">
      <c r="E575" s="11" t="n"/>
      <c r="F575" s="12">
        <f>IF($E575="","",DATEDIF($E575,TODAY(),"Y"))</f>
        <v/>
      </c>
      <c r="N575" s="11" t="n"/>
    </row>
    <row r="576">
      <c r="E576" s="11" t="n"/>
      <c r="F576" s="12">
        <f>IF($E576="","",DATEDIF($E576,TODAY(),"Y"))</f>
        <v/>
      </c>
      <c r="N576" s="11" t="n"/>
    </row>
    <row r="577">
      <c r="E577" s="11" t="n"/>
      <c r="F577" s="12">
        <f>IF($E577="","",DATEDIF($E577,TODAY(),"Y"))</f>
        <v/>
      </c>
      <c r="N577" s="11" t="n"/>
    </row>
    <row r="578">
      <c r="E578" s="11" t="n"/>
      <c r="F578" s="12">
        <f>IF($E578="","",DATEDIF($E578,TODAY(),"Y"))</f>
        <v/>
      </c>
      <c r="N578" s="11" t="n"/>
    </row>
    <row r="579">
      <c r="E579" s="11" t="n"/>
      <c r="F579" s="12">
        <f>IF($E579="","",DATEDIF($E579,TODAY(),"Y"))</f>
        <v/>
      </c>
      <c r="N579" s="11" t="n"/>
    </row>
    <row r="580">
      <c r="E580" s="11" t="n"/>
      <c r="F580" s="12">
        <f>IF($E580="","",DATEDIF($E580,TODAY(),"Y"))</f>
        <v/>
      </c>
      <c r="N580" s="11" t="n"/>
    </row>
    <row r="581">
      <c r="E581" s="11" t="n"/>
      <c r="F581" s="12">
        <f>IF($E581="","",DATEDIF($E581,TODAY(),"Y"))</f>
        <v/>
      </c>
      <c r="N581" s="11" t="n"/>
    </row>
    <row r="582">
      <c r="E582" s="11" t="n"/>
      <c r="F582" s="12">
        <f>IF($E582="","",DATEDIF($E582,TODAY(),"Y"))</f>
        <v/>
      </c>
      <c r="N582" s="11" t="n"/>
    </row>
    <row r="583">
      <c r="E583" s="11" t="n"/>
      <c r="F583" s="12">
        <f>IF($E583="","",DATEDIF($E583,TODAY(),"Y"))</f>
        <v/>
      </c>
      <c r="N583" s="11" t="n"/>
    </row>
    <row r="584">
      <c r="E584" s="11" t="n"/>
      <c r="F584" s="12">
        <f>IF($E584="","",DATEDIF($E584,TODAY(),"Y"))</f>
        <v/>
      </c>
      <c r="N584" s="11" t="n"/>
    </row>
    <row r="585">
      <c r="E585" s="11" t="n"/>
      <c r="F585" s="12">
        <f>IF($E585="","",DATEDIF($E585,TODAY(),"Y"))</f>
        <v/>
      </c>
      <c r="N585" s="11" t="n"/>
    </row>
    <row r="586">
      <c r="E586" s="11" t="n"/>
      <c r="F586" s="12">
        <f>IF($E586="","",DATEDIF($E586,TODAY(),"Y"))</f>
        <v/>
      </c>
      <c r="N586" s="11" t="n"/>
    </row>
    <row r="587">
      <c r="E587" s="11" t="n"/>
      <c r="F587" s="12">
        <f>IF($E587="","",DATEDIF($E587,TODAY(),"Y"))</f>
        <v/>
      </c>
      <c r="N587" s="11" t="n"/>
    </row>
    <row r="588">
      <c r="E588" s="11" t="n"/>
      <c r="F588" s="12">
        <f>IF($E588="","",DATEDIF($E588,TODAY(),"Y"))</f>
        <v/>
      </c>
      <c r="N588" s="11" t="n"/>
    </row>
    <row r="589">
      <c r="E589" s="11" t="n"/>
      <c r="F589" s="12">
        <f>IF($E589="","",DATEDIF($E589,TODAY(),"Y"))</f>
        <v/>
      </c>
      <c r="N589" s="11" t="n"/>
    </row>
    <row r="590">
      <c r="E590" s="11" t="n"/>
      <c r="F590" s="12">
        <f>IF($E590="","",DATEDIF($E590,TODAY(),"Y"))</f>
        <v/>
      </c>
      <c r="N590" s="11" t="n"/>
    </row>
    <row r="591">
      <c r="E591" s="11" t="n"/>
      <c r="F591" s="12">
        <f>IF($E591="","",DATEDIF($E591,TODAY(),"Y"))</f>
        <v/>
      </c>
      <c r="N591" s="11" t="n"/>
    </row>
    <row r="592">
      <c r="E592" s="11" t="n"/>
      <c r="F592" s="12">
        <f>IF($E592="","",DATEDIF($E592,TODAY(),"Y"))</f>
        <v/>
      </c>
      <c r="N592" s="11" t="n"/>
    </row>
    <row r="593">
      <c r="E593" s="11" t="n"/>
      <c r="F593" s="12">
        <f>IF($E593="","",DATEDIF($E593,TODAY(),"Y"))</f>
        <v/>
      </c>
      <c r="N593" s="11" t="n"/>
    </row>
    <row r="594">
      <c r="E594" s="11" t="n"/>
      <c r="F594" s="12">
        <f>IF($E594="","",DATEDIF($E594,TODAY(),"Y"))</f>
        <v/>
      </c>
      <c r="N594" s="11" t="n"/>
    </row>
    <row r="595">
      <c r="E595" s="11" t="n"/>
      <c r="F595" s="12">
        <f>IF($E595="","",DATEDIF($E595,TODAY(),"Y"))</f>
        <v/>
      </c>
      <c r="N595" s="11" t="n"/>
    </row>
    <row r="596">
      <c r="E596" s="11" t="n"/>
      <c r="F596" s="12">
        <f>IF($E596="","",DATEDIF($E596,TODAY(),"Y"))</f>
        <v/>
      </c>
      <c r="N596" s="11" t="n"/>
    </row>
    <row r="597">
      <c r="E597" s="11" t="n"/>
      <c r="F597" s="12">
        <f>IF($E597="","",DATEDIF($E597,TODAY(),"Y"))</f>
        <v/>
      </c>
      <c r="N597" s="11" t="n"/>
    </row>
    <row r="598">
      <c r="E598" s="11" t="n"/>
      <c r="F598" s="12">
        <f>IF($E598="","",DATEDIF($E598,TODAY(),"Y"))</f>
        <v/>
      </c>
      <c r="N598" s="11" t="n"/>
    </row>
    <row r="599">
      <c r="E599" s="11" t="n"/>
      <c r="F599" s="12">
        <f>IF($E599="","",DATEDIF($E599,TODAY(),"Y"))</f>
        <v/>
      </c>
      <c r="N599" s="11" t="n"/>
    </row>
    <row r="600">
      <c r="E600" s="11" t="n"/>
      <c r="F600" s="12">
        <f>IF($E600="","",DATEDIF($E600,TODAY(),"Y"))</f>
        <v/>
      </c>
      <c r="N600" s="11" t="n"/>
    </row>
  </sheetData>
  <autoFilter ref="A1:O600"/>
  <conditionalFormatting sqref="A2:O600">
    <cfRule type="expression" priority="1" dxfId="0">
      <formula>$C2="NC"</formula>
    </cfRule>
    <cfRule type="expression" priority="2" dxfId="1">
      <formula>$C2="MD"</formula>
    </cfRule>
    <cfRule type="expression" priority="7" dxfId="2">
      <formula>$A2&lt;&gt;""</formula>
    </cfRule>
  </conditionalFormatting>
  <conditionalFormatting sqref="M2:M600">
    <cfRule type="cellIs" priority="3" operator="equal" dxfId="3">
      <formula>"In Pipeline"</formula>
    </cfRule>
    <cfRule type="cellIs" priority="4" operator="equal" dxfId="4">
      <formula>"Responded"</formula>
    </cfRule>
    <cfRule type="cellIs" priority="5" operator="equal" dxfId="5">
      <formula>"Do Not Contact"</formula>
    </cfRule>
    <cfRule type="cellIs" priority="6" operator="equal" dxfId="6">
      <formula>"Not Interested"</formula>
    </cfRule>
  </conditionalFormatting>
  <dataValidations count="5">
    <dataValidation sqref="B2:B600" showDropDown="0" showInputMessage="0" showErrorMessage="1" allowBlank="1" errorTitle="Invalid entry" error="Pick a value from the dropdown list." type="list">
      <formula1>Lists!$A$2:$A$7</formula1>
    </dataValidation>
    <dataValidation sqref="C2:C600" showDropDown="0" showInputMessage="0" showErrorMessage="1" allowBlank="1" errorTitle="Invalid entry" error="Pick a value from the dropdown list." type="list">
      <formula1>Lists!$B$2:$B$3</formula1>
    </dataValidation>
    <dataValidation sqref="G2:G600" showDropDown="0" showInputMessage="0" showErrorMessage="1" allowBlank="1" errorTitle="Invalid entry" error="Pick a value from the dropdown list." type="list">
      <formula1>Lists!$C$2:$C$6</formula1>
    </dataValidation>
    <dataValidation sqref="L2:L600" showDropDown="0" showInputMessage="0" showErrorMessage="1" allowBlank="1" errorTitle="Invalid entry" error="Pick a value from the dropdown list." type="list">
      <formula1>Lists!$D$2:$D$5</formula1>
    </dataValidation>
    <dataValidation sqref="M2:M600" showDropDown="0" showInputMessage="0" showErrorMessage="1" allowBlank="1" errorTitle="Invalid entry" error="Pick a value from the dropdown list." type="list">
      <formula1>Lists!$E$2:$E$8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4" customWidth="1" min="4" max="4"/>
    <col width="26" customWidth="1" min="5" max="5"/>
    <col width="12" customWidth="1" min="6" max="6"/>
  </cols>
  <sheetData>
    <row r="1">
      <c r="A1" s="13" t="inlineStr">
        <is>
          <t>BCBA Sourcing Dashboard — NC + MD</t>
        </is>
      </c>
    </row>
    <row r="2">
      <c r="A2" s="14" t="inlineStr">
        <is>
          <t>Live summary — updates automatically as you edit the Candidates tab.</t>
        </is>
      </c>
    </row>
    <row r="4">
      <c r="A4" s="15" t="inlineStr">
        <is>
          <t>Candidates by State</t>
        </is>
      </c>
      <c r="B4" s="16" t="n"/>
      <c r="C4" s="16" t="n"/>
      <c r="E4" s="15" t="inlineStr">
        <is>
          <t>Outreach Status</t>
        </is>
      </c>
      <c r="F4" s="16" t="n"/>
    </row>
    <row r="5">
      <c r="A5" s="17" t="inlineStr">
        <is>
          <t>State</t>
        </is>
      </c>
      <c r="B5" s="18" t="inlineStr">
        <is>
          <t>Count</t>
        </is>
      </c>
      <c r="E5" s="17" t="inlineStr">
        <is>
          <t>Status</t>
        </is>
      </c>
      <c r="F5" s="18" t="inlineStr">
        <is>
          <t>Count</t>
        </is>
      </c>
    </row>
    <row r="6">
      <c r="A6" s="19" t="inlineStr">
        <is>
          <t>NC</t>
        </is>
      </c>
      <c r="B6" s="8">
        <f>COUNTIF(Candidates!$C$2:$C$600,"NC")</f>
        <v/>
      </c>
      <c r="E6" s="19" t="inlineStr">
        <is>
          <t>Not Contacted</t>
        </is>
      </c>
      <c r="F6" s="8">
        <f>COUNTIF(Candidates!$M$2:$M$600,"Not Contacted")</f>
        <v/>
      </c>
    </row>
    <row r="7">
      <c r="A7" s="19" t="inlineStr">
        <is>
          <t>MD</t>
        </is>
      </c>
      <c r="B7" s="8">
        <f>COUNTIF(Candidates!$C$2:$C$600,"MD")</f>
        <v/>
      </c>
      <c r="E7" s="19" t="inlineStr">
        <is>
          <t>Contacted</t>
        </is>
      </c>
      <c r="F7" s="8">
        <f>COUNTIF(Candidates!$M$2:$M$600,"Contacted")</f>
        <v/>
      </c>
    </row>
    <row r="8">
      <c r="A8" s="20" t="inlineStr">
        <is>
          <t>Total</t>
        </is>
      </c>
      <c r="B8" s="20">
        <f>SUM(B6:B7)</f>
        <v/>
      </c>
      <c r="E8" s="19" t="inlineStr">
        <is>
          <t>Responded</t>
        </is>
      </c>
      <c r="F8" s="8">
        <f>COUNTIF(Candidates!$M$2:$M$600,"Responded")</f>
        <v/>
      </c>
    </row>
    <row r="9">
      <c r="E9" s="19" t="inlineStr">
        <is>
          <t>Screening</t>
        </is>
      </c>
      <c r="F9" s="8">
        <f>COUNTIF(Candidates!$M$2:$M$600,"Screening")</f>
        <v/>
      </c>
    </row>
    <row r="10">
      <c r="E10" s="19" t="inlineStr">
        <is>
          <t>In Pipeline</t>
        </is>
      </c>
      <c r="F10" s="8">
        <f>COUNTIF(Candidates!$M$2:$M$600,"In Pipeline")</f>
        <v/>
      </c>
    </row>
    <row r="11">
      <c r="A11" s="15" t="inlineStr">
        <is>
          <t>Candidates by Credential</t>
        </is>
      </c>
      <c r="B11" s="16" t="n"/>
      <c r="C11" s="16" t="n"/>
      <c r="E11" s="19" t="inlineStr">
        <is>
          <t>Not Interested</t>
        </is>
      </c>
      <c r="F11" s="8">
        <f>COUNTIF(Candidates!$M$2:$M$600,"Not Interested")</f>
        <v/>
      </c>
    </row>
    <row r="12">
      <c r="A12" s="17" t="inlineStr">
        <is>
          <t>Credential</t>
        </is>
      </c>
      <c r="B12" s="18" t="inlineStr">
        <is>
          <t>Count</t>
        </is>
      </c>
      <c r="E12" s="19" t="inlineStr">
        <is>
          <t>Do Not Contact</t>
        </is>
      </c>
      <c r="F12" s="8">
        <f>COUNTIF(Candidates!$M$2:$M$600,"Do Not Contact")</f>
        <v/>
      </c>
    </row>
    <row r="13">
      <c r="A13" s="19" t="inlineStr">
        <is>
          <t>BCBA-D</t>
        </is>
      </c>
      <c r="B13" s="8">
        <f>COUNTIF(Candidates!$B$2:$B$600,"BCBA-D")</f>
        <v/>
      </c>
    </row>
    <row r="14">
      <c r="A14" s="19" t="inlineStr">
        <is>
          <t>BCBA</t>
        </is>
      </c>
      <c r="B14" s="8">
        <f>COUNTIF(Candidates!$B$2:$B$600,"BCBA")</f>
        <v/>
      </c>
    </row>
    <row r="15">
      <c r="A15" s="19" t="inlineStr">
        <is>
          <t>BCaBA</t>
        </is>
      </c>
      <c r="B15" s="8">
        <f>COUNTIF(Candidates!$B$2:$B$600,"BCaBA")</f>
        <v/>
      </c>
      <c r="E15" s="15" t="inlineStr">
        <is>
          <t>Years Licensed</t>
        </is>
      </c>
      <c r="F15" s="16" t="n"/>
    </row>
    <row r="16">
      <c r="A16" s="19" t="inlineStr">
        <is>
          <t>RBT</t>
        </is>
      </c>
      <c r="B16" s="8">
        <f>COUNTIF(Candidates!$B$2:$B$600,"RBT")</f>
        <v/>
      </c>
      <c r="E16" s="17" t="inlineStr">
        <is>
          <t>Range</t>
        </is>
      </c>
      <c r="F16" s="18" t="inlineStr">
        <is>
          <t>Count</t>
        </is>
      </c>
    </row>
    <row r="17">
      <c r="A17" s="19" t="inlineStr">
        <is>
          <t>LBA (state license)</t>
        </is>
      </c>
      <c r="B17" s="8">
        <f>COUNTIF(Candidates!$B$2:$B$600,"LBA (state license)")</f>
        <v/>
      </c>
      <c r="E17" s="19" t="inlineStr">
        <is>
          <t>0–2 years</t>
        </is>
      </c>
      <c r="F17" s="8">
        <f>COUNTIFS(Candidates!$F$2:$F$600,"&gt;=0",Candidates!$F$2:$F$600,"&lt;=2")</f>
        <v/>
      </c>
    </row>
    <row r="18">
      <c r="A18" s="19" t="inlineStr">
        <is>
          <t>LABA (state assistant)</t>
        </is>
      </c>
      <c r="B18" s="8">
        <f>COUNTIF(Candidates!$B$2:$B$600,"LABA (state assistant)")</f>
        <v/>
      </c>
      <c r="E18" s="19" t="inlineStr">
        <is>
          <t>3–5 years</t>
        </is>
      </c>
      <c r="F18" s="8">
        <f>COUNTIFS(Candidates!$F$2:$F$600,"&gt;=3",Candidates!$F$2:$F$600,"&lt;=5")</f>
        <v/>
      </c>
    </row>
    <row r="19">
      <c r="A19" s="20" t="inlineStr">
        <is>
          <t>Total</t>
        </is>
      </c>
      <c r="B19" s="20">
        <f>SUM(B13:B18)</f>
        <v/>
      </c>
      <c r="E19" s="19" t="inlineStr">
        <is>
          <t>6–10 years</t>
        </is>
      </c>
      <c r="F19" s="8">
        <f>COUNTIFS(Candidates!$F$2:$F$600,"&gt;=6",Candidates!$F$2:$F$600,"&lt;=10")</f>
        <v/>
      </c>
    </row>
    <row r="20">
      <c r="E20" s="19" t="inlineStr">
        <is>
          <t>11+ years</t>
        </is>
      </c>
      <c r="F20" s="8">
        <f>COUNTIF(Candidates!$F$2:$F$600,"&gt;=11")</f>
        <v/>
      </c>
    </row>
    <row r="22">
      <c r="A22" s="15" t="inlineStr">
        <is>
          <t>Candidates by License Status</t>
        </is>
      </c>
      <c r="B22" s="16" t="n"/>
      <c r="C22" s="16" t="n"/>
    </row>
    <row r="23">
      <c r="A23" s="17" t="inlineStr">
        <is>
          <t>License Status</t>
        </is>
      </c>
      <c r="B23" s="18" t="inlineStr">
        <is>
          <t>Count</t>
        </is>
      </c>
    </row>
    <row r="24">
      <c r="A24" s="19" t="inlineStr">
        <is>
          <t>Active</t>
        </is>
      </c>
      <c r="B24" s="8">
        <f>COUNTIF(Candidates!$G$2:$G$600,"Active")</f>
        <v/>
      </c>
    </row>
    <row r="25">
      <c r="A25" s="19" t="inlineStr">
        <is>
          <t>Expired</t>
        </is>
      </c>
      <c r="B25" s="8">
        <f>COUNTIF(Candidates!$G$2:$G$600,"Expired")</f>
        <v/>
      </c>
    </row>
    <row r="26">
      <c r="A26" s="19" t="inlineStr">
        <is>
          <t>Inactive</t>
        </is>
      </c>
      <c r="B26" s="8">
        <f>COUNTIF(Candidates!$G$2:$G$600,"Inactive")</f>
        <v/>
      </c>
    </row>
    <row r="27">
      <c r="A27" s="19" t="inlineStr">
        <is>
          <t>Suspended</t>
        </is>
      </c>
      <c r="B27" s="8">
        <f>COUNTIF(Candidates!$G$2:$G$600,"Suspended")</f>
        <v/>
      </c>
    </row>
    <row r="28">
      <c r="A28" s="19" t="inlineStr">
        <is>
          <t>Unknown</t>
        </is>
      </c>
      <c r="B28" s="8">
        <f>COUNTIF(Candidates!$G$2:$G$600,"Unknown")</f>
        <v/>
      </c>
    </row>
    <row r="29">
      <c r="A29" s="20" t="inlineStr">
        <is>
          <t>Total</t>
        </is>
      </c>
      <c r="B29" s="20">
        <f>SUM(B24:B28)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1" t="inlineStr">
        <is>
          <t>Credential</t>
        </is>
      </c>
      <c r="B1" s="21" t="inlineStr">
        <is>
          <t>State</t>
        </is>
      </c>
      <c r="C1" s="21" t="inlineStr">
        <is>
          <t>License Status</t>
        </is>
      </c>
      <c r="D1" s="21" t="inlineStr">
        <is>
          <t>Source Verified</t>
        </is>
      </c>
      <c r="E1" s="21" t="inlineStr">
        <is>
          <t>Outreach Status</t>
        </is>
      </c>
    </row>
    <row r="2">
      <c r="A2" s="22" t="inlineStr">
        <is>
          <t>BCBA-D</t>
        </is>
      </c>
      <c r="B2" s="22" t="inlineStr">
        <is>
          <t>NC</t>
        </is>
      </c>
      <c r="C2" s="22" t="inlineStr">
        <is>
          <t>Active</t>
        </is>
      </c>
      <c r="D2" s="22" t="inlineStr">
        <is>
          <t>BACB Registry</t>
        </is>
      </c>
      <c r="E2" s="22" t="inlineStr">
        <is>
          <t>Not Contacted</t>
        </is>
      </c>
    </row>
    <row r="3">
      <c r="A3" s="22" t="inlineStr">
        <is>
          <t>BCBA</t>
        </is>
      </c>
      <c r="B3" s="22" t="inlineStr">
        <is>
          <t>MD</t>
        </is>
      </c>
      <c r="C3" s="22" t="inlineStr">
        <is>
          <t>Expired</t>
        </is>
      </c>
      <c r="D3" s="22" t="inlineStr">
        <is>
          <t>NC LBA Board</t>
        </is>
      </c>
      <c r="E3" s="22" t="inlineStr">
        <is>
          <t>Contacted</t>
        </is>
      </c>
    </row>
    <row r="4">
      <c r="A4" s="22" t="inlineStr">
        <is>
          <t>BCaBA</t>
        </is>
      </c>
      <c r="C4" s="22" t="inlineStr">
        <is>
          <t>Inactive</t>
        </is>
      </c>
      <c r="D4" s="22" t="inlineStr">
        <is>
          <t>MD Board (BOPC)</t>
        </is>
      </c>
      <c r="E4" s="22" t="inlineStr">
        <is>
          <t>Responded</t>
        </is>
      </c>
    </row>
    <row r="5">
      <c r="A5" s="22" t="inlineStr">
        <is>
          <t>RBT</t>
        </is>
      </c>
      <c r="C5" s="22" t="inlineStr">
        <is>
          <t>Suspended</t>
        </is>
      </c>
      <c r="D5" s="22" t="inlineStr">
        <is>
          <t>Multiple</t>
        </is>
      </c>
      <c r="E5" s="22" t="inlineStr">
        <is>
          <t>Screening</t>
        </is>
      </c>
    </row>
    <row r="6">
      <c r="A6" s="22" t="inlineStr">
        <is>
          <t>LBA (state license)</t>
        </is>
      </c>
      <c r="C6" s="22" t="inlineStr">
        <is>
          <t>Unknown</t>
        </is>
      </c>
      <c r="E6" s="22" t="inlineStr">
        <is>
          <t>In Pipeline</t>
        </is>
      </c>
    </row>
    <row r="7">
      <c r="A7" s="22" t="inlineStr">
        <is>
          <t>LABA (state assistant)</t>
        </is>
      </c>
      <c r="E7" s="22" t="inlineStr">
        <is>
          <t>Not Interested</t>
        </is>
      </c>
    </row>
    <row r="8">
      <c r="E8" s="22" t="inlineStr">
        <is>
          <t>Do Not Contact</t>
        </is>
      </c>
    </row>
    <row r="10">
      <c r="A10" s="14" t="inlineStr">
        <is>
          <t>Reference lists that drive the dropdowns on the Candidates tab. Edit values here to change the available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2026-07-09T16:21:35Z</dcterms:created>
  <dcterms:modified xmlns:dcterms="http://purl.org/dc/terms/" xmlns:xsi="http://www.w3.org/2001/XMLSchema-instance" xsi:type="dcterms:W3CDTF">2026-07-09T16:21:35Z</dcterms:modified>
</cp:coreProperties>
</file>