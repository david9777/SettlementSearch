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Samson\.claude\Settlement\"/>
    </mc:Choice>
  </mc:AlternateContent>
  <xr:revisionPtr revIDLastSave="0" documentId="13_ncr:1_{E71B019F-1F18-4DBD-9753-B1AABD12177C}" xr6:coauthVersionLast="47" xr6:coauthVersionMax="47" xr10:uidLastSave="{00000000-0000-0000-0000-000000000000}"/>
  <bookViews>
    <workbookView xWindow="28680" yWindow="-1095" windowWidth="29040" windowHeight="15720" activeTab="1" xr2:uid="{00000000-000D-0000-FFFF-FFFF00000000}"/>
  </bookViews>
  <sheets>
    <sheet name="Read Me" sheetId="1" r:id="rId1"/>
    <sheet name="Tracker" sheetId="2" r:id="rId2"/>
    <sheet name="Dashboard" sheetId="3" r:id="rId3"/>
    <sheet name="Lists" sheetId="4" r:id="rId4"/>
  </sheets>
  <definedNames>
    <definedName name="_xlnm._FilterDatabase" localSheetId="1" hidden="1">Tracker!$A$1:$Y$500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B23" i="3"/>
  <c r="B22" i="3"/>
  <c r="D22" i="3" s="1"/>
  <c r="B21" i="3"/>
  <c r="B20" i="3"/>
  <c r="B19" i="3"/>
  <c r="B18" i="3"/>
  <c r="B17" i="3"/>
  <c r="C19" i="3" s="1"/>
  <c r="H15" i="3"/>
  <c r="B11" i="3"/>
  <c r="A11" i="3"/>
  <c r="B10" i="3"/>
  <c r="A10" i="3"/>
  <c r="H9" i="3"/>
  <c r="B9" i="3"/>
  <c r="A9" i="3"/>
  <c r="H8" i="3"/>
  <c r="B8" i="3"/>
  <c r="A8" i="3"/>
  <c r="H7" i="3"/>
  <c r="B7" i="3"/>
  <c r="A7" i="3"/>
  <c r="B6" i="3"/>
  <c r="A6" i="3"/>
  <c r="Y500" i="2"/>
  <c r="X500" i="2"/>
  <c r="W500" i="2"/>
  <c r="Y499" i="2"/>
  <c r="X499" i="2"/>
  <c r="W499" i="2"/>
  <c r="Y498" i="2"/>
  <c r="X498" i="2"/>
  <c r="W498" i="2"/>
  <c r="Y497" i="2"/>
  <c r="X497" i="2"/>
  <c r="W497" i="2"/>
  <c r="Y496" i="2"/>
  <c r="X496" i="2"/>
  <c r="W496" i="2"/>
  <c r="Y495" i="2"/>
  <c r="X495" i="2"/>
  <c r="W495" i="2"/>
  <c r="Y494" i="2"/>
  <c r="X494" i="2"/>
  <c r="W494" i="2"/>
  <c r="Y493" i="2"/>
  <c r="X493" i="2"/>
  <c r="W493" i="2"/>
  <c r="Y492" i="2"/>
  <c r="X492" i="2"/>
  <c r="W492" i="2"/>
  <c r="Y491" i="2"/>
  <c r="X491" i="2"/>
  <c r="W491" i="2"/>
  <c r="Y490" i="2"/>
  <c r="X490" i="2"/>
  <c r="W490" i="2"/>
  <c r="Y489" i="2"/>
  <c r="X489" i="2"/>
  <c r="W489" i="2"/>
  <c r="Y488" i="2"/>
  <c r="X488" i="2"/>
  <c r="W488" i="2"/>
  <c r="Y487" i="2"/>
  <c r="X487" i="2"/>
  <c r="W487" i="2"/>
  <c r="Y486" i="2"/>
  <c r="X486" i="2"/>
  <c r="W486" i="2"/>
  <c r="Y485" i="2"/>
  <c r="X485" i="2"/>
  <c r="W485" i="2"/>
  <c r="Y484" i="2"/>
  <c r="X484" i="2"/>
  <c r="W484" i="2"/>
  <c r="Y483" i="2"/>
  <c r="X483" i="2"/>
  <c r="W483" i="2"/>
  <c r="Y482" i="2"/>
  <c r="X482" i="2"/>
  <c r="W482" i="2"/>
  <c r="Y481" i="2"/>
  <c r="X481" i="2"/>
  <c r="W481" i="2"/>
  <c r="Y480" i="2"/>
  <c r="X480" i="2"/>
  <c r="W480" i="2"/>
  <c r="Y479" i="2"/>
  <c r="X479" i="2"/>
  <c r="W479" i="2"/>
  <c r="Y478" i="2"/>
  <c r="X478" i="2"/>
  <c r="W478" i="2"/>
  <c r="Y477" i="2"/>
  <c r="X477" i="2"/>
  <c r="W477" i="2"/>
  <c r="Y476" i="2"/>
  <c r="X476" i="2"/>
  <c r="W476" i="2"/>
  <c r="Y475" i="2"/>
  <c r="X475" i="2"/>
  <c r="W475" i="2"/>
  <c r="Y474" i="2"/>
  <c r="X474" i="2"/>
  <c r="W474" i="2"/>
  <c r="Y473" i="2"/>
  <c r="X473" i="2"/>
  <c r="W473" i="2"/>
  <c r="Y472" i="2"/>
  <c r="X472" i="2"/>
  <c r="W472" i="2"/>
  <c r="Y471" i="2"/>
  <c r="X471" i="2"/>
  <c r="W471" i="2"/>
  <c r="Y470" i="2"/>
  <c r="X470" i="2"/>
  <c r="W470" i="2"/>
  <c r="Y469" i="2"/>
  <c r="X469" i="2"/>
  <c r="W469" i="2"/>
  <c r="Y468" i="2"/>
  <c r="X468" i="2"/>
  <c r="W468" i="2"/>
  <c r="Y467" i="2"/>
  <c r="X467" i="2"/>
  <c r="W467" i="2"/>
  <c r="Y466" i="2"/>
  <c r="X466" i="2"/>
  <c r="W466" i="2"/>
  <c r="Y465" i="2"/>
  <c r="X465" i="2"/>
  <c r="W465" i="2"/>
  <c r="Y464" i="2"/>
  <c r="X464" i="2"/>
  <c r="W464" i="2"/>
  <c r="Y463" i="2"/>
  <c r="X463" i="2"/>
  <c r="W463" i="2"/>
  <c r="Y462" i="2"/>
  <c r="X462" i="2"/>
  <c r="W462" i="2"/>
  <c r="Y461" i="2"/>
  <c r="X461" i="2"/>
  <c r="W461" i="2"/>
  <c r="Y460" i="2"/>
  <c r="X460" i="2"/>
  <c r="W460" i="2"/>
  <c r="Y459" i="2"/>
  <c r="X459" i="2"/>
  <c r="W459" i="2"/>
  <c r="Y458" i="2"/>
  <c r="X458" i="2"/>
  <c r="W458" i="2"/>
  <c r="Y457" i="2"/>
  <c r="X457" i="2"/>
  <c r="W457" i="2"/>
  <c r="Y456" i="2"/>
  <c r="X456" i="2"/>
  <c r="W456" i="2"/>
  <c r="Y455" i="2"/>
  <c r="X455" i="2"/>
  <c r="W455" i="2"/>
  <c r="Y454" i="2"/>
  <c r="X454" i="2"/>
  <c r="W454" i="2"/>
  <c r="Y453" i="2"/>
  <c r="X453" i="2"/>
  <c r="W453" i="2"/>
  <c r="Y452" i="2"/>
  <c r="X452" i="2"/>
  <c r="W452" i="2"/>
  <c r="Y451" i="2"/>
  <c r="X451" i="2"/>
  <c r="W451" i="2"/>
  <c r="Y450" i="2"/>
  <c r="X450" i="2"/>
  <c r="W450" i="2"/>
  <c r="Y449" i="2"/>
  <c r="X449" i="2"/>
  <c r="W449" i="2"/>
  <c r="Y448" i="2"/>
  <c r="X448" i="2"/>
  <c r="W448" i="2"/>
  <c r="Y447" i="2"/>
  <c r="X447" i="2"/>
  <c r="W447" i="2"/>
  <c r="Y446" i="2"/>
  <c r="X446" i="2"/>
  <c r="W446" i="2"/>
  <c r="Y445" i="2"/>
  <c r="X445" i="2"/>
  <c r="W445" i="2"/>
  <c r="Y444" i="2"/>
  <c r="X444" i="2"/>
  <c r="W444" i="2"/>
  <c r="Y443" i="2"/>
  <c r="X443" i="2"/>
  <c r="W443" i="2"/>
  <c r="Y442" i="2"/>
  <c r="X442" i="2"/>
  <c r="W442" i="2"/>
  <c r="Y441" i="2"/>
  <c r="X441" i="2"/>
  <c r="W441" i="2"/>
  <c r="Y440" i="2"/>
  <c r="X440" i="2"/>
  <c r="W440" i="2"/>
  <c r="Y439" i="2"/>
  <c r="X439" i="2"/>
  <c r="W439" i="2"/>
  <c r="Y438" i="2"/>
  <c r="X438" i="2"/>
  <c r="W438" i="2"/>
  <c r="Y437" i="2"/>
  <c r="X437" i="2"/>
  <c r="W437" i="2"/>
  <c r="Y436" i="2"/>
  <c r="X436" i="2"/>
  <c r="W436" i="2"/>
  <c r="Y435" i="2"/>
  <c r="X435" i="2"/>
  <c r="W435" i="2"/>
  <c r="Y434" i="2"/>
  <c r="X434" i="2"/>
  <c r="W434" i="2"/>
  <c r="Y433" i="2"/>
  <c r="X433" i="2"/>
  <c r="W433" i="2"/>
  <c r="Y432" i="2"/>
  <c r="X432" i="2"/>
  <c r="W432" i="2"/>
  <c r="Y431" i="2"/>
  <c r="X431" i="2"/>
  <c r="W431" i="2"/>
  <c r="Y430" i="2"/>
  <c r="X430" i="2"/>
  <c r="W430" i="2"/>
  <c r="Y429" i="2"/>
  <c r="X429" i="2"/>
  <c r="W429" i="2"/>
  <c r="Y428" i="2"/>
  <c r="X428" i="2"/>
  <c r="W428" i="2"/>
  <c r="Y427" i="2"/>
  <c r="X427" i="2"/>
  <c r="W427" i="2"/>
  <c r="Y426" i="2"/>
  <c r="X426" i="2"/>
  <c r="W426" i="2"/>
  <c r="Y425" i="2"/>
  <c r="X425" i="2"/>
  <c r="W425" i="2"/>
  <c r="Y424" i="2"/>
  <c r="X424" i="2"/>
  <c r="W424" i="2"/>
  <c r="Y423" i="2"/>
  <c r="X423" i="2"/>
  <c r="W423" i="2"/>
  <c r="Y422" i="2"/>
  <c r="X422" i="2"/>
  <c r="W422" i="2"/>
  <c r="Y421" i="2"/>
  <c r="X421" i="2"/>
  <c r="W421" i="2"/>
  <c r="Y420" i="2"/>
  <c r="X420" i="2"/>
  <c r="W420" i="2"/>
  <c r="Y419" i="2"/>
  <c r="X419" i="2"/>
  <c r="W419" i="2"/>
  <c r="Y418" i="2"/>
  <c r="X418" i="2"/>
  <c r="W418" i="2"/>
  <c r="Y417" i="2"/>
  <c r="X417" i="2"/>
  <c r="W417" i="2"/>
  <c r="Y416" i="2"/>
  <c r="X416" i="2"/>
  <c r="W416" i="2"/>
  <c r="Y415" i="2"/>
  <c r="X415" i="2"/>
  <c r="W415" i="2"/>
  <c r="Y414" i="2"/>
  <c r="X414" i="2"/>
  <c r="W414" i="2"/>
  <c r="Y413" i="2"/>
  <c r="X413" i="2"/>
  <c r="W413" i="2"/>
  <c r="Y412" i="2"/>
  <c r="X412" i="2"/>
  <c r="W412" i="2"/>
  <c r="Y411" i="2"/>
  <c r="X411" i="2"/>
  <c r="W411" i="2"/>
  <c r="Y410" i="2"/>
  <c r="X410" i="2"/>
  <c r="W410" i="2"/>
  <c r="Y409" i="2"/>
  <c r="X409" i="2"/>
  <c r="W409" i="2"/>
  <c r="Y408" i="2"/>
  <c r="X408" i="2"/>
  <c r="W408" i="2"/>
  <c r="Y407" i="2"/>
  <c r="X407" i="2"/>
  <c r="W407" i="2"/>
  <c r="Y406" i="2"/>
  <c r="X406" i="2"/>
  <c r="W406" i="2"/>
  <c r="Y405" i="2"/>
  <c r="X405" i="2"/>
  <c r="W405" i="2"/>
  <c r="Y404" i="2"/>
  <c r="X404" i="2"/>
  <c r="W404" i="2"/>
  <c r="Y403" i="2"/>
  <c r="X403" i="2"/>
  <c r="W403" i="2"/>
  <c r="Y402" i="2"/>
  <c r="X402" i="2"/>
  <c r="W402" i="2"/>
  <c r="Y401" i="2"/>
  <c r="X401" i="2"/>
  <c r="W401" i="2"/>
  <c r="Y400" i="2"/>
  <c r="X400" i="2"/>
  <c r="W400" i="2"/>
  <c r="Y399" i="2"/>
  <c r="X399" i="2"/>
  <c r="W399" i="2"/>
  <c r="Y398" i="2"/>
  <c r="X398" i="2"/>
  <c r="W398" i="2"/>
  <c r="Y397" i="2"/>
  <c r="X397" i="2"/>
  <c r="W397" i="2"/>
  <c r="Y396" i="2"/>
  <c r="X396" i="2"/>
  <c r="W396" i="2"/>
  <c r="Y395" i="2"/>
  <c r="X395" i="2"/>
  <c r="W395" i="2"/>
  <c r="Y394" i="2"/>
  <c r="X394" i="2"/>
  <c r="W394" i="2"/>
  <c r="Y393" i="2"/>
  <c r="X393" i="2"/>
  <c r="W393" i="2"/>
  <c r="Y392" i="2"/>
  <c r="X392" i="2"/>
  <c r="W392" i="2"/>
  <c r="Y391" i="2"/>
  <c r="X391" i="2"/>
  <c r="W391" i="2"/>
  <c r="Y390" i="2"/>
  <c r="X390" i="2"/>
  <c r="W390" i="2"/>
  <c r="Y389" i="2"/>
  <c r="X389" i="2"/>
  <c r="W389" i="2"/>
  <c r="Y388" i="2"/>
  <c r="X388" i="2"/>
  <c r="W388" i="2"/>
  <c r="Y387" i="2"/>
  <c r="X387" i="2"/>
  <c r="W387" i="2"/>
  <c r="Y386" i="2"/>
  <c r="X386" i="2"/>
  <c r="W386" i="2"/>
  <c r="Y385" i="2"/>
  <c r="X385" i="2"/>
  <c r="W385" i="2"/>
  <c r="Y384" i="2"/>
  <c r="X384" i="2"/>
  <c r="W384" i="2"/>
  <c r="Y383" i="2"/>
  <c r="X383" i="2"/>
  <c r="W383" i="2"/>
  <c r="Y382" i="2"/>
  <c r="X382" i="2"/>
  <c r="W382" i="2"/>
  <c r="Y381" i="2"/>
  <c r="X381" i="2"/>
  <c r="W381" i="2"/>
  <c r="Y380" i="2"/>
  <c r="X380" i="2"/>
  <c r="W380" i="2"/>
  <c r="Y379" i="2"/>
  <c r="X379" i="2"/>
  <c r="W379" i="2"/>
  <c r="Y378" i="2"/>
  <c r="X378" i="2"/>
  <c r="W378" i="2"/>
  <c r="Y377" i="2"/>
  <c r="X377" i="2"/>
  <c r="W377" i="2"/>
  <c r="Y376" i="2"/>
  <c r="X376" i="2"/>
  <c r="W376" i="2"/>
  <c r="Y375" i="2"/>
  <c r="X375" i="2"/>
  <c r="W375" i="2"/>
  <c r="Y374" i="2"/>
  <c r="X374" i="2"/>
  <c r="W374" i="2"/>
  <c r="Y373" i="2"/>
  <c r="X373" i="2"/>
  <c r="W373" i="2"/>
  <c r="Y372" i="2"/>
  <c r="X372" i="2"/>
  <c r="W372" i="2"/>
  <c r="Y371" i="2"/>
  <c r="X371" i="2"/>
  <c r="W371" i="2"/>
  <c r="Y370" i="2"/>
  <c r="X370" i="2"/>
  <c r="W370" i="2"/>
  <c r="Y369" i="2"/>
  <c r="X369" i="2"/>
  <c r="W369" i="2"/>
  <c r="Y368" i="2"/>
  <c r="X368" i="2"/>
  <c r="W368" i="2"/>
  <c r="Y367" i="2"/>
  <c r="X367" i="2"/>
  <c r="W367" i="2"/>
  <c r="Y366" i="2"/>
  <c r="X366" i="2"/>
  <c r="W366" i="2"/>
  <c r="Y365" i="2"/>
  <c r="X365" i="2"/>
  <c r="W365" i="2"/>
  <c r="Y364" i="2"/>
  <c r="X364" i="2"/>
  <c r="W364" i="2"/>
  <c r="Y363" i="2"/>
  <c r="X363" i="2"/>
  <c r="W363" i="2"/>
  <c r="Y362" i="2"/>
  <c r="X362" i="2"/>
  <c r="W362" i="2"/>
  <c r="Y361" i="2"/>
  <c r="X361" i="2"/>
  <c r="W361" i="2"/>
  <c r="Y360" i="2"/>
  <c r="X360" i="2"/>
  <c r="W360" i="2"/>
  <c r="Y359" i="2"/>
  <c r="X359" i="2"/>
  <c r="W359" i="2"/>
  <c r="Y358" i="2"/>
  <c r="X358" i="2"/>
  <c r="W358" i="2"/>
  <c r="Y357" i="2"/>
  <c r="X357" i="2"/>
  <c r="W357" i="2"/>
  <c r="Y356" i="2"/>
  <c r="X356" i="2"/>
  <c r="W356" i="2"/>
  <c r="Y355" i="2"/>
  <c r="X355" i="2"/>
  <c r="W355" i="2"/>
  <c r="Y354" i="2"/>
  <c r="X354" i="2"/>
  <c r="W354" i="2"/>
  <c r="Y353" i="2"/>
  <c r="X353" i="2"/>
  <c r="W353" i="2"/>
  <c r="Y352" i="2"/>
  <c r="X352" i="2"/>
  <c r="W352" i="2"/>
  <c r="Y351" i="2"/>
  <c r="X351" i="2"/>
  <c r="W351" i="2"/>
  <c r="Y350" i="2"/>
  <c r="X350" i="2"/>
  <c r="W350" i="2"/>
  <c r="Y349" i="2"/>
  <c r="X349" i="2"/>
  <c r="W349" i="2"/>
  <c r="Y348" i="2"/>
  <c r="X348" i="2"/>
  <c r="W348" i="2"/>
  <c r="Y347" i="2"/>
  <c r="X347" i="2"/>
  <c r="W347" i="2"/>
  <c r="Y346" i="2"/>
  <c r="X346" i="2"/>
  <c r="W346" i="2"/>
  <c r="Y345" i="2"/>
  <c r="X345" i="2"/>
  <c r="W345" i="2"/>
  <c r="Y344" i="2"/>
  <c r="X344" i="2"/>
  <c r="W344" i="2"/>
  <c r="Y343" i="2"/>
  <c r="X343" i="2"/>
  <c r="W343" i="2"/>
  <c r="Y342" i="2"/>
  <c r="X342" i="2"/>
  <c r="W342" i="2"/>
  <c r="Y341" i="2"/>
  <c r="X341" i="2"/>
  <c r="W341" i="2"/>
  <c r="Y340" i="2"/>
  <c r="X340" i="2"/>
  <c r="W340" i="2"/>
  <c r="Y339" i="2"/>
  <c r="X339" i="2"/>
  <c r="W339" i="2"/>
  <c r="Y338" i="2"/>
  <c r="X338" i="2"/>
  <c r="W338" i="2"/>
  <c r="Y337" i="2"/>
  <c r="X337" i="2"/>
  <c r="W337" i="2"/>
  <c r="Y336" i="2"/>
  <c r="X336" i="2"/>
  <c r="W336" i="2"/>
  <c r="Y335" i="2"/>
  <c r="X335" i="2"/>
  <c r="W335" i="2"/>
  <c r="Y334" i="2"/>
  <c r="X334" i="2"/>
  <c r="W334" i="2"/>
  <c r="Y333" i="2"/>
  <c r="X333" i="2"/>
  <c r="W333" i="2"/>
  <c r="Y332" i="2"/>
  <c r="X332" i="2"/>
  <c r="W332" i="2"/>
  <c r="Y331" i="2"/>
  <c r="X331" i="2"/>
  <c r="W331" i="2"/>
  <c r="Y330" i="2"/>
  <c r="X330" i="2"/>
  <c r="W330" i="2"/>
  <c r="Y329" i="2"/>
  <c r="X329" i="2"/>
  <c r="W329" i="2"/>
  <c r="Y328" i="2"/>
  <c r="X328" i="2"/>
  <c r="W328" i="2"/>
  <c r="Y327" i="2"/>
  <c r="X327" i="2"/>
  <c r="W327" i="2"/>
  <c r="Y326" i="2"/>
  <c r="X326" i="2"/>
  <c r="W326" i="2"/>
  <c r="Y325" i="2"/>
  <c r="X325" i="2"/>
  <c r="W325" i="2"/>
  <c r="Y324" i="2"/>
  <c r="X324" i="2"/>
  <c r="W324" i="2"/>
  <c r="Y323" i="2"/>
  <c r="X323" i="2"/>
  <c r="W323" i="2"/>
  <c r="Y322" i="2"/>
  <c r="X322" i="2"/>
  <c r="W322" i="2"/>
  <c r="Y321" i="2"/>
  <c r="X321" i="2"/>
  <c r="W321" i="2"/>
  <c r="Y320" i="2"/>
  <c r="X320" i="2"/>
  <c r="W320" i="2"/>
  <c r="Y319" i="2"/>
  <c r="X319" i="2"/>
  <c r="W319" i="2"/>
  <c r="Y318" i="2"/>
  <c r="X318" i="2"/>
  <c r="W318" i="2"/>
  <c r="Y317" i="2"/>
  <c r="X317" i="2"/>
  <c r="W317" i="2"/>
  <c r="Y316" i="2"/>
  <c r="X316" i="2"/>
  <c r="W316" i="2"/>
  <c r="Y315" i="2"/>
  <c r="X315" i="2"/>
  <c r="W315" i="2"/>
  <c r="Y314" i="2"/>
  <c r="X314" i="2"/>
  <c r="W314" i="2"/>
  <c r="Y313" i="2"/>
  <c r="X313" i="2"/>
  <c r="W313" i="2"/>
  <c r="Y312" i="2"/>
  <c r="X312" i="2"/>
  <c r="W312" i="2"/>
  <c r="Y311" i="2"/>
  <c r="X311" i="2"/>
  <c r="W311" i="2"/>
  <c r="Y310" i="2"/>
  <c r="X310" i="2"/>
  <c r="W310" i="2"/>
  <c r="Y309" i="2"/>
  <c r="X309" i="2"/>
  <c r="W309" i="2"/>
  <c r="Y308" i="2"/>
  <c r="X308" i="2"/>
  <c r="W308" i="2"/>
  <c r="Y307" i="2"/>
  <c r="X307" i="2"/>
  <c r="W307" i="2"/>
  <c r="Y306" i="2"/>
  <c r="X306" i="2"/>
  <c r="W306" i="2"/>
  <c r="Y305" i="2"/>
  <c r="X305" i="2"/>
  <c r="W305" i="2"/>
  <c r="Y304" i="2"/>
  <c r="X304" i="2"/>
  <c r="W304" i="2"/>
  <c r="Y303" i="2"/>
  <c r="X303" i="2"/>
  <c r="W303" i="2"/>
  <c r="Y302" i="2"/>
  <c r="X302" i="2"/>
  <c r="W302" i="2"/>
  <c r="Y301" i="2"/>
  <c r="X301" i="2"/>
  <c r="W301" i="2"/>
  <c r="Y300" i="2"/>
  <c r="X300" i="2"/>
  <c r="W300" i="2"/>
  <c r="Y299" i="2"/>
  <c r="X299" i="2"/>
  <c r="W299" i="2"/>
  <c r="Y298" i="2"/>
  <c r="X298" i="2"/>
  <c r="W298" i="2"/>
  <c r="Y297" i="2"/>
  <c r="X297" i="2"/>
  <c r="W297" i="2"/>
  <c r="Y296" i="2"/>
  <c r="X296" i="2"/>
  <c r="W296" i="2"/>
  <c r="Y295" i="2"/>
  <c r="X295" i="2"/>
  <c r="W295" i="2"/>
  <c r="Y294" i="2"/>
  <c r="X294" i="2"/>
  <c r="W294" i="2"/>
  <c r="Y293" i="2"/>
  <c r="X293" i="2"/>
  <c r="W293" i="2"/>
  <c r="Y292" i="2"/>
  <c r="X292" i="2"/>
  <c r="W292" i="2"/>
  <c r="Y291" i="2"/>
  <c r="X291" i="2"/>
  <c r="W291" i="2"/>
  <c r="Y290" i="2"/>
  <c r="X290" i="2"/>
  <c r="W290" i="2"/>
  <c r="Y289" i="2"/>
  <c r="X289" i="2"/>
  <c r="W289" i="2"/>
  <c r="Y288" i="2"/>
  <c r="X288" i="2"/>
  <c r="W288" i="2"/>
  <c r="Y287" i="2"/>
  <c r="X287" i="2"/>
  <c r="W287" i="2"/>
  <c r="Y286" i="2"/>
  <c r="X286" i="2"/>
  <c r="W286" i="2"/>
  <c r="Y285" i="2"/>
  <c r="X285" i="2"/>
  <c r="W285" i="2"/>
  <c r="Y284" i="2"/>
  <c r="X284" i="2"/>
  <c r="W284" i="2"/>
  <c r="Y283" i="2"/>
  <c r="X283" i="2"/>
  <c r="W283" i="2"/>
  <c r="Y282" i="2"/>
  <c r="X282" i="2"/>
  <c r="W282" i="2"/>
  <c r="Y281" i="2"/>
  <c r="X281" i="2"/>
  <c r="W281" i="2"/>
  <c r="Y280" i="2"/>
  <c r="X280" i="2"/>
  <c r="W280" i="2"/>
  <c r="Y279" i="2"/>
  <c r="X279" i="2"/>
  <c r="W279" i="2"/>
  <c r="Y278" i="2"/>
  <c r="X278" i="2"/>
  <c r="W278" i="2"/>
  <c r="Y277" i="2"/>
  <c r="X277" i="2"/>
  <c r="W277" i="2"/>
  <c r="Y276" i="2"/>
  <c r="X276" i="2"/>
  <c r="W276" i="2"/>
  <c r="Y275" i="2"/>
  <c r="X275" i="2"/>
  <c r="W275" i="2"/>
  <c r="Y274" i="2"/>
  <c r="X274" i="2"/>
  <c r="W274" i="2"/>
  <c r="Y273" i="2"/>
  <c r="X273" i="2"/>
  <c r="W273" i="2"/>
  <c r="Y272" i="2"/>
  <c r="X272" i="2"/>
  <c r="W272" i="2"/>
  <c r="Y271" i="2"/>
  <c r="X271" i="2"/>
  <c r="W271" i="2"/>
  <c r="Y270" i="2"/>
  <c r="X270" i="2"/>
  <c r="W270" i="2"/>
  <c r="Y269" i="2"/>
  <c r="X269" i="2"/>
  <c r="W269" i="2"/>
  <c r="Y268" i="2"/>
  <c r="X268" i="2"/>
  <c r="W268" i="2"/>
  <c r="Y267" i="2"/>
  <c r="X267" i="2"/>
  <c r="W267" i="2"/>
  <c r="Y266" i="2"/>
  <c r="X266" i="2"/>
  <c r="W266" i="2"/>
  <c r="Y265" i="2"/>
  <c r="X265" i="2"/>
  <c r="W265" i="2"/>
  <c r="Y264" i="2"/>
  <c r="X264" i="2"/>
  <c r="W264" i="2"/>
  <c r="Y263" i="2"/>
  <c r="X263" i="2"/>
  <c r="W263" i="2"/>
  <c r="Y262" i="2"/>
  <c r="X262" i="2"/>
  <c r="W262" i="2"/>
  <c r="Y261" i="2"/>
  <c r="X261" i="2"/>
  <c r="W261" i="2"/>
  <c r="Y260" i="2"/>
  <c r="X260" i="2"/>
  <c r="W260" i="2"/>
  <c r="Y259" i="2"/>
  <c r="X259" i="2"/>
  <c r="W259" i="2"/>
  <c r="Y258" i="2"/>
  <c r="X258" i="2"/>
  <c r="W258" i="2"/>
  <c r="Y257" i="2"/>
  <c r="X257" i="2"/>
  <c r="W257" i="2"/>
  <c r="Y256" i="2"/>
  <c r="X256" i="2"/>
  <c r="W256" i="2"/>
  <c r="Y255" i="2"/>
  <c r="X255" i="2"/>
  <c r="W255" i="2"/>
  <c r="Y254" i="2"/>
  <c r="X254" i="2"/>
  <c r="W254" i="2"/>
  <c r="Y253" i="2"/>
  <c r="X253" i="2"/>
  <c r="W253" i="2"/>
  <c r="Y252" i="2"/>
  <c r="X252" i="2"/>
  <c r="W252" i="2"/>
  <c r="Y251" i="2"/>
  <c r="X251" i="2"/>
  <c r="W251" i="2"/>
  <c r="Y250" i="2"/>
  <c r="X250" i="2"/>
  <c r="W250" i="2"/>
  <c r="Y249" i="2"/>
  <c r="X249" i="2"/>
  <c r="W249" i="2"/>
  <c r="Y248" i="2"/>
  <c r="X248" i="2"/>
  <c r="W248" i="2"/>
  <c r="Y247" i="2"/>
  <c r="X247" i="2"/>
  <c r="W247" i="2"/>
  <c r="Y246" i="2"/>
  <c r="X246" i="2"/>
  <c r="W246" i="2"/>
  <c r="Y245" i="2"/>
  <c r="X245" i="2"/>
  <c r="W245" i="2"/>
  <c r="Y244" i="2"/>
  <c r="X244" i="2"/>
  <c r="W244" i="2"/>
  <c r="Y243" i="2"/>
  <c r="X243" i="2"/>
  <c r="W243" i="2"/>
  <c r="Y242" i="2"/>
  <c r="X242" i="2"/>
  <c r="W242" i="2"/>
  <c r="Y241" i="2"/>
  <c r="X241" i="2"/>
  <c r="W241" i="2"/>
  <c r="Y240" i="2"/>
  <c r="X240" i="2"/>
  <c r="W240" i="2"/>
  <c r="Y239" i="2"/>
  <c r="X239" i="2"/>
  <c r="W239" i="2"/>
  <c r="Y238" i="2"/>
  <c r="X238" i="2"/>
  <c r="W238" i="2"/>
  <c r="Y237" i="2"/>
  <c r="X237" i="2"/>
  <c r="W237" i="2"/>
  <c r="Y236" i="2"/>
  <c r="X236" i="2"/>
  <c r="W236" i="2"/>
  <c r="Y235" i="2"/>
  <c r="X235" i="2"/>
  <c r="W235" i="2"/>
  <c r="Y234" i="2"/>
  <c r="X234" i="2"/>
  <c r="W234" i="2"/>
  <c r="Y233" i="2"/>
  <c r="X233" i="2"/>
  <c r="W233" i="2"/>
  <c r="Y232" i="2"/>
  <c r="X232" i="2"/>
  <c r="W232" i="2"/>
  <c r="Y231" i="2"/>
  <c r="X231" i="2"/>
  <c r="W231" i="2"/>
  <c r="Y230" i="2"/>
  <c r="X230" i="2"/>
  <c r="W230" i="2"/>
  <c r="Y229" i="2"/>
  <c r="X229" i="2"/>
  <c r="W229" i="2"/>
  <c r="Y228" i="2"/>
  <c r="X228" i="2"/>
  <c r="W228" i="2"/>
  <c r="Y227" i="2"/>
  <c r="X227" i="2"/>
  <c r="W227" i="2"/>
  <c r="Y226" i="2"/>
  <c r="X226" i="2"/>
  <c r="W226" i="2"/>
  <c r="Y225" i="2"/>
  <c r="X225" i="2"/>
  <c r="W225" i="2"/>
  <c r="Y224" i="2"/>
  <c r="X224" i="2"/>
  <c r="W224" i="2"/>
  <c r="Y223" i="2"/>
  <c r="X223" i="2"/>
  <c r="W223" i="2"/>
  <c r="Y222" i="2"/>
  <c r="X222" i="2"/>
  <c r="W222" i="2"/>
  <c r="Y221" i="2"/>
  <c r="X221" i="2"/>
  <c r="W221" i="2"/>
  <c r="Y220" i="2"/>
  <c r="X220" i="2"/>
  <c r="W220" i="2"/>
  <c r="Y219" i="2"/>
  <c r="X219" i="2"/>
  <c r="W219" i="2"/>
  <c r="Y218" i="2"/>
  <c r="X218" i="2"/>
  <c r="W218" i="2"/>
  <c r="Y217" i="2"/>
  <c r="X217" i="2"/>
  <c r="W217" i="2"/>
  <c r="Y216" i="2"/>
  <c r="X216" i="2"/>
  <c r="W216" i="2"/>
  <c r="Y215" i="2"/>
  <c r="X215" i="2"/>
  <c r="W215" i="2"/>
  <c r="Y214" i="2"/>
  <c r="X214" i="2"/>
  <c r="W214" i="2"/>
  <c r="Y213" i="2"/>
  <c r="X213" i="2"/>
  <c r="W213" i="2"/>
  <c r="Y212" i="2"/>
  <c r="X212" i="2"/>
  <c r="W212" i="2"/>
  <c r="Y211" i="2"/>
  <c r="X211" i="2"/>
  <c r="W211" i="2"/>
  <c r="Y210" i="2"/>
  <c r="X210" i="2"/>
  <c r="W210" i="2"/>
  <c r="Y209" i="2"/>
  <c r="X209" i="2"/>
  <c r="W209" i="2"/>
  <c r="Y208" i="2"/>
  <c r="X208" i="2"/>
  <c r="W208" i="2"/>
  <c r="Y207" i="2"/>
  <c r="X207" i="2"/>
  <c r="W207" i="2"/>
  <c r="Y206" i="2"/>
  <c r="X206" i="2"/>
  <c r="W206" i="2"/>
  <c r="Y205" i="2"/>
  <c r="X205" i="2"/>
  <c r="W205" i="2"/>
  <c r="Y204" i="2"/>
  <c r="X204" i="2"/>
  <c r="W204" i="2"/>
  <c r="Y203" i="2"/>
  <c r="X203" i="2"/>
  <c r="W203" i="2"/>
  <c r="Y202" i="2"/>
  <c r="X202" i="2"/>
  <c r="W202" i="2"/>
  <c r="Y201" i="2"/>
  <c r="X201" i="2"/>
  <c r="W201" i="2"/>
  <c r="Y200" i="2"/>
  <c r="X200" i="2"/>
  <c r="W200" i="2"/>
  <c r="Y199" i="2"/>
  <c r="X199" i="2"/>
  <c r="W199" i="2"/>
  <c r="Y198" i="2"/>
  <c r="X198" i="2"/>
  <c r="W198" i="2"/>
  <c r="Y197" i="2"/>
  <c r="X197" i="2"/>
  <c r="W197" i="2"/>
  <c r="Y196" i="2"/>
  <c r="X196" i="2"/>
  <c r="W196" i="2"/>
  <c r="Y195" i="2"/>
  <c r="X195" i="2"/>
  <c r="W195" i="2"/>
  <c r="Y194" i="2"/>
  <c r="X194" i="2"/>
  <c r="W194" i="2"/>
  <c r="Y193" i="2"/>
  <c r="X193" i="2"/>
  <c r="W193" i="2"/>
  <c r="Y192" i="2"/>
  <c r="X192" i="2"/>
  <c r="W192" i="2"/>
  <c r="Y191" i="2"/>
  <c r="X191" i="2"/>
  <c r="W191" i="2"/>
  <c r="Y190" i="2"/>
  <c r="X190" i="2"/>
  <c r="W190" i="2"/>
  <c r="Y189" i="2"/>
  <c r="X189" i="2"/>
  <c r="W189" i="2"/>
  <c r="Y188" i="2"/>
  <c r="X188" i="2"/>
  <c r="W188" i="2"/>
  <c r="Y187" i="2"/>
  <c r="X187" i="2"/>
  <c r="W187" i="2"/>
  <c r="Y186" i="2"/>
  <c r="X186" i="2"/>
  <c r="W186" i="2"/>
  <c r="Y185" i="2"/>
  <c r="X185" i="2"/>
  <c r="W185" i="2"/>
  <c r="Y184" i="2"/>
  <c r="X184" i="2"/>
  <c r="W184" i="2"/>
  <c r="Y183" i="2"/>
  <c r="X183" i="2"/>
  <c r="W183" i="2"/>
  <c r="Y182" i="2"/>
  <c r="X182" i="2"/>
  <c r="W182" i="2"/>
  <c r="Y181" i="2"/>
  <c r="X181" i="2"/>
  <c r="W181" i="2"/>
  <c r="Y180" i="2"/>
  <c r="X180" i="2"/>
  <c r="W180" i="2"/>
  <c r="Y179" i="2"/>
  <c r="X179" i="2"/>
  <c r="W179" i="2"/>
  <c r="Y178" i="2"/>
  <c r="X178" i="2"/>
  <c r="W178" i="2"/>
  <c r="Y177" i="2"/>
  <c r="X177" i="2"/>
  <c r="W177" i="2"/>
  <c r="Y176" i="2"/>
  <c r="X176" i="2"/>
  <c r="W176" i="2"/>
  <c r="Y175" i="2"/>
  <c r="X175" i="2"/>
  <c r="W175" i="2"/>
  <c r="Y174" i="2"/>
  <c r="X174" i="2"/>
  <c r="W174" i="2"/>
  <c r="Y173" i="2"/>
  <c r="X173" i="2"/>
  <c r="W173" i="2"/>
  <c r="Y172" i="2"/>
  <c r="X172" i="2"/>
  <c r="W172" i="2"/>
  <c r="Y171" i="2"/>
  <c r="X171" i="2"/>
  <c r="W171" i="2"/>
  <c r="Y170" i="2"/>
  <c r="X170" i="2"/>
  <c r="W170" i="2"/>
  <c r="Y169" i="2"/>
  <c r="X169" i="2"/>
  <c r="W169" i="2"/>
  <c r="Y168" i="2"/>
  <c r="X168" i="2"/>
  <c r="W168" i="2"/>
  <c r="Y167" i="2"/>
  <c r="X167" i="2"/>
  <c r="W167" i="2"/>
  <c r="Y166" i="2"/>
  <c r="X166" i="2"/>
  <c r="W166" i="2"/>
  <c r="Y165" i="2"/>
  <c r="X165" i="2"/>
  <c r="W165" i="2"/>
  <c r="Y164" i="2"/>
  <c r="X164" i="2"/>
  <c r="W164" i="2"/>
  <c r="Y163" i="2"/>
  <c r="X163" i="2"/>
  <c r="W163" i="2"/>
  <c r="Y162" i="2"/>
  <c r="X162" i="2"/>
  <c r="W162" i="2"/>
  <c r="Y161" i="2"/>
  <c r="X161" i="2"/>
  <c r="W161" i="2"/>
  <c r="Y160" i="2"/>
  <c r="X160" i="2"/>
  <c r="W160" i="2"/>
  <c r="Y159" i="2"/>
  <c r="X159" i="2"/>
  <c r="W159" i="2"/>
  <c r="Y158" i="2"/>
  <c r="X158" i="2"/>
  <c r="W158" i="2"/>
  <c r="Y157" i="2"/>
  <c r="X157" i="2"/>
  <c r="W157" i="2"/>
  <c r="Y156" i="2"/>
  <c r="X156" i="2"/>
  <c r="W156" i="2"/>
  <c r="Y155" i="2"/>
  <c r="X155" i="2"/>
  <c r="W155" i="2"/>
  <c r="Y154" i="2"/>
  <c r="X154" i="2"/>
  <c r="W154" i="2"/>
  <c r="Y153" i="2"/>
  <c r="X153" i="2"/>
  <c r="W153" i="2"/>
  <c r="Y152" i="2"/>
  <c r="X152" i="2"/>
  <c r="W152" i="2"/>
  <c r="Y151" i="2"/>
  <c r="X151" i="2"/>
  <c r="W151" i="2"/>
  <c r="Y150" i="2"/>
  <c r="X150" i="2"/>
  <c r="W150" i="2"/>
  <c r="Y149" i="2"/>
  <c r="X149" i="2"/>
  <c r="W149" i="2"/>
  <c r="Y148" i="2"/>
  <c r="X148" i="2"/>
  <c r="W148" i="2"/>
  <c r="Y147" i="2"/>
  <c r="X147" i="2"/>
  <c r="W147" i="2"/>
  <c r="Y146" i="2"/>
  <c r="X146" i="2"/>
  <c r="W146" i="2"/>
  <c r="Y145" i="2"/>
  <c r="X145" i="2"/>
  <c r="W145" i="2"/>
  <c r="Y144" i="2"/>
  <c r="X144" i="2"/>
  <c r="W144" i="2"/>
  <c r="Y143" i="2"/>
  <c r="X143" i="2"/>
  <c r="W143" i="2"/>
  <c r="Y142" i="2"/>
  <c r="X142" i="2"/>
  <c r="W142" i="2"/>
  <c r="Y141" i="2"/>
  <c r="X141" i="2"/>
  <c r="W141" i="2"/>
  <c r="Y140" i="2"/>
  <c r="X140" i="2"/>
  <c r="W140" i="2"/>
  <c r="Y139" i="2"/>
  <c r="X139" i="2"/>
  <c r="W139" i="2"/>
  <c r="Y138" i="2"/>
  <c r="X138" i="2"/>
  <c r="W138" i="2"/>
  <c r="Y137" i="2"/>
  <c r="X137" i="2"/>
  <c r="W137" i="2"/>
  <c r="Y136" i="2"/>
  <c r="X136" i="2"/>
  <c r="W136" i="2"/>
  <c r="Y135" i="2"/>
  <c r="X135" i="2"/>
  <c r="W135" i="2"/>
  <c r="Y134" i="2"/>
  <c r="X134" i="2"/>
  <c r="W134" i="2"/>
  <c r="Y133" i="2"/>
  <c r="X133" i="2"/>
  <c r="W133" i="2"/>
  <c r="Y132" i="2"/>
  <c r="X132" i="2"/>
  <c r="W132" i="2"/>
  <c r="Y131" i="2"/>
  <c r="X131" i="2"/>
  <c r="W131" i="2"/>
  <c r="Y130" i="2"/>
  <c r="X130" i="2"/>
  <c r="W130" i="2"/>
  <c r="Y129" i="2"/>
  <c r="X129" i="2"/>
  <c r="W129" i="2"/>
  <c r="Y128" i="2"/>
  <c r="X128" i="2"/>
  <c r="W128" i="2"/>
  <c r="Y127" i="2"/>
  <c r="X127" i="2"/>
  <c r="W127" i="2"/>
  <c r="Y126" i="2"/>
  <c r="X126" i="2"/>
  <c r="W126" i="2"/>
  <c r="Y125" i="2"/>
  <c r="X125" i="2"/>
  <c r="W125" i="2"/>
  <c r="Y124" i="2"/>
  <c r="X124" i="2"/>
  <c r="W124" i="2"/>
  <c r="Y123" i="2"/>
  <c r="X123" i="2"/>
  <c r="W123" i="2"/>
  <c r="Y122" i="2"/>
  <c r="X122" i="2"/>
  <c r="W122" i="2"/>
  <c r="Y121" i="2"/>
  <c r="X121" i="2"/>
  <c r="W121" i="2"/>
  <c r="Y120" i="2"/>
  <c r="X120" i="2"/>
  <c r="W120" i="2"/>
  <c r="Y119" i="2"/>
  <c r="X119" i="2"/>
  <c r="W119" i="2"/>
  <c r="Y118" i="2"/>
  <c r="X118" i="2"/>
  <c r="W118" i="2"/>
  <c r="Y117" i="2"/>
  <c r="X117" i="2"/>
  <c r="W117" i="2"/>
  <c r="Y116" i="2"/>
  <c r="X116" i="2"/>
  <c r="W116" i="2"/>
  <c r="Y115" i="2"/>
  <c r="X115" i="2"/>
  <c r="W115" i="2"/>
  <c r="Y114" i="2"/>
  <c r="X114" i="2"/>
  <c r="W114" i="2"/>
  <c r="Y113" i="2"/>
  <c r="X113" i="2"/>
  <c r="W113" i="2"/>
  <c r="Y112" i="2"/>
  <c r="X112" i="2"/>
  <c r="W112" i="2"/>
  <c r="Y111" i="2"/>
  <c r="X111" i="2"/>
  <c r="W111" i="2"/>
  <c r="Y110" i="2"/>
  <c r="X110" i="2"/>
  <c r="W110" i="2"/>
  <c r="Y109" i="2"/>
  <c r="X109" i="2"/>
  <c r="W109" i="2"/>
  <c r="Y108" i="2"/>
  <c r="X108" i="2"/>
  <c r="W108" i="2"/>
  <c r="Y107" i="2"/>
  <c r="X107" i="2"/>
  <c r="W107" i="2"/>
  <c r="Y106" i="2"/>
  <c r="X106" i="2"/>
  <c r="W106" i="2"/>
  <c r="Y105" i="2"/>
  <c r="X105" i="2"/>
  <c r="W105" i="2"/>
  <c r="Y104" i="2"/>
  <c r="X104" i="2"/>
  <c r="W104" i="2"/>
  <c r="Y103" i="2"/>
  <c r="X103" i="2"/>
  <c r="W103" i="2"/>
  <c r="Y102" i="2"/>
  <c r="X102" i="2"/>
  <c r="W102" i="2"/>
  <c r="Y101" i="2"/>
  <c r="X101" i="2"/>
  <c r="W101" i="2"/>
  <c r="Y100" i="2"/>
  <c r="X100" i="2"/>
  <c r="W100" i="2"/>
  <c r="Y99" i="2"/>
  <c r="X99" i="2"/>
  <c r="W99" i="2"/>
  <c r="Y98" i="2"/>
  <c r="X98" i="2"/>
  <c r="W98" i="2"/>
  <c r="Y97" i="2"/>
  <c r="X97" i="2"/>
  <c r="W97" i="2"/>
  <c r="Y96" i="2"/>
  <c r="X96" i="2"/>
  <c r="W96" i="2"/>
  <c r="Y95" i="2"/>
  <c r="X95" i="2"/>
  <c r="W95" i="2"/>
  <c r="Y94" i="2"/>
  <c r="X94" i="2"/>
  <c r="W94" i="2"/>
  <c r="Y93" i="2"/>
  <c r="X93" i="2"/>
  <c r="W93" i="2"/>
  <c r="Y92" i="2"/>
  <c r="X92" i="2"/>
  <c r="W92" i="2"/>
  <c r="Y91" i="2"/>
  <c r="X91" i="2"/>
  <c r="W91" i="2"/>
  <c r="Y90" i="2"/>
  <c r="X90" i="2"/>
  <c r="W90" i="2"/>
  <c r="Y89" i="2"/>
  <c r="X89" i="2"/>
  <c r="W89" i="2"/>
  <c r="Y88" i="2"/>
  <c r="X88" i="2"/>
  <c r="W88" i="2"/>
  <c r="Y87" i="2"/>
  <c r="X87" i="2"/>
  <c r="W87" i="2"/>
  <c r="Y86" i="2"/>
  <c r="X86" i="2"/>
  <c r="W86" i="2"/>
  <c r="Y85" i="2"/>
  <c r="X85" i="2"/>
  <c r="W85" i="2"/>
  <c r="Y84" i="2"/>
  <c r="X84" i="2"/>
  <c r="W84" i="2"/>
  <c r="Y83" i="2"/>
  <c r="X83" i="2"/>
  <c r="W83" i="2"/>
  <c r="Y82" i="2"/>
  <c r="X82" i="2"/>
  <c r="W82" i="2"/>
  <c r="Y81" i="2"/>
  <c r="X81" i="2"/>
  <c r="W81" i="2"/>
  <c r="Y80" i="2"/>
  <c r="X80" i="2"/>
  <c r="W80" i="2"/>
  <c r="Y79" i="2"/>
  <c r="X79" i="2"/>
  <c r="W79" i="2"/>
  <c r="Y78" i="2"/>
  <c r="X78" i="2"/>
  <c r="W78" i="2"/>
  <c r="Y77" i="2"/>
  <c r="X77" i="2"/>
  <c r="W77" i="2"/>
  <c r="Y76" i="2"/>
  <c r="X76" i="2"/>
  <c r="W76" i="2"/>
  <c r="Y75" i="2"/>
  <c r="X75" i="2"/>
  <c r="W75" i="2"/>
  <c r="Y74" i="2"/>
  <c r="X74" i="2"/>
  <c r="W74" i="2"/>
  <c r="Y73" i="2"/>
  <c r="X73" i="2"/>
  <c r="W73" i="2"/>
  <c r="Y72" i="2"/>
  <c r="X72" i="2"/>
  <c r="W72" i="2"/>
  <c r="Y71" i="2"/>
  <c r="X71" i="2"/>
  <c r="W71" i="2"/>
  <c r="Y70" i="2"/>
  <c r="X70" i="2"/>
  <c r="W70" i="2"/>
  <c r="Y69" i="2"/>
  <c r="X69" i="2"/>
  <c r="W69" i="2"/>
  <c r="Y68" i="2"/>
  <c r="X68" i="2"/>
  <c r="W68" i="2"/>
  <c r="Y67" i="2"/>
  <c r="X67" i="2"/>
  <c r="W67" i="2"/>
  <c r="Y66" i="2"/>
  <c r="X66" i="2"/>
  <c r="W66" i="2"/>
  <c r="Y65" i="2"/>
  <c r="X65" i="2"/>
  <c r="W65" i="2"/>
  <c r="Y64" i="2"/>
  <c r="X64" i="2"/>
  <c r="W64" i="2"/>
  <c r="Y63" i="2"/>
  <c r="X63" i="2"/>
  <c r="W63" i="2"/>
  <c r="Y62" i="2"/>
  <c r="X62" i="2"/>
  <c r="W62" i="2"/>
  <c r="Y61" i="2"/>
  <c r="X61" i="2"/>
  <c r="W61" i="2"/>
  <c r="Y60" i="2"/>
  <c r="X60" i="2"/>
  <c r="W60" i="2"/>
  <c r="Y59" i="2"/>
  <c r="X59" i="2"/>
  <c r="W59" i="2"/>
  <c r="Y58" i="2"/>
  <c r="X58" i="2"/>
  <c r="W58" i="2"/>
  <c r="Y57" i="2"/>
  <c r="X57" i="2"/>
  <c r="W57" i="2"/>
  <c r="Y56" i="2"/>
  <c r="X56" i="2"/>
  <c r="W56" i="2"/>
  <c r="Y55" i="2"/>
  <c r="X55" i="2"/>
  <c r="W55" i="2"/>
  <c r="Y54" i="2"/>
  <c r="X54" i="2"/>
  <c r="W54" i="2"/>
  <c r="Y53" i="2"/>
  <c r="X53" i="2"/>
  <c r="W53" i="2"/>
  <c r="Y52" i="2"/>
  <c r="X52" i="2"/>
  <c r="W52" i="2"/>
  <c r="Y51" i="2"/>
  <c r="X51" i="2"/>
  <c r="W51" i="2"/>
  <c r="Y50" i="2"/>
  <c r="X50" i="2"/>
  <c r="W50" i="2"/>
  <c r="Y49" i="2"/>
  <c r="X49" i="2"/>
  <c r="W49" i="2"/>
  <c r="Y48" i="2"/>
  <c r="X48" i="2"/>
  <c r="W48" i="2"/>
  <c r="Y47" i="2"/>
  <c r="X47" i="2"/>
  <c r="W47" i="2"/>
  <c r="Y46" i="2"/>
  <c r="X46" i="2"/>
  <c r="W46" i="2"/>
  <c r="Y45" i="2"/>
  <c r="X45" i="2"/>
  <c r="W45" i="2"/>
  <c r="Y44" i="2"/>
  <c r="X44" i="2"/>
  <c r="W44" i="2"/>
  <c r="Y43" i="2"/>
  <c r="X43" i="2"/>
  <c r="W43" i="2"/>
  <c r="Y42" i="2"/>
  <c r="X42" i="2"/>
  <c r="W42" i="2"/>
  <c r="Y41" i="2"/>
  <c r="X41" i="2"/>
  <c r="W41" i="2"/>
  <c r="Y40" i="2"/>
  <c r="X40" i="2"/>
  <c r="W40" i="2"/>
  <c r="Y39" i="2"/>
  <c r="X39" i="2"/>
  <c r="W39" i="2"/>
  <c r="Y38" i="2"/>
  <c r="X38" i="2"/>
  <c r="W38" i="2"/>
  <c r="Y37" i="2"/>
  <c r="X37" i="2"/>
  <c r="W37" i="2"/>
  <c r="Y36" i="2"/>
  <c r="X36" i="2"/>
  <c r="W36" i="2"/>
  <c r="Y35" i="2"/>
  <c r="X35" i="2"/>
  <c r="W35" i="2"/>
  <c r="Y34" i="2"/>
  <c r="X34" i="2"/>
  <c r="W34" i="2"/>
  <c r="Y33" i="2"/>
  <c r="X33" i="2"/>
  <c r="W33" i="2"/>
  <c r="Y32" i="2"/>
  <c r="X32" i="2"/>
  <c r="W32" i="2"/>
  <c r="Y31" i="2"/>
  <c r="X31" i="2"/>
  <c r="W31" i="2"/>
  <c r="Y30" i="2"/>
  <c r="X30" i="2"/>
  <c r="W30" i="2"/>
  <c r="Y29" i="2"/>
  <c r="X29" i="2"/>
  <c r="W29" i="2"/>
  <c r="Y28" i="2"/>
  <c r="X28" i="2"/>
  <c r="W28" i="2"/>
  <c r="Y27" i="2"/>
  <c r="X27" i="2"/>
  <c r="W27" i="2"/>
  <c r="Y26" i="2"/>
  <c r="X26" i="2"/>
  <c r="W26" i="2"/>
  <c r="Y25" i="2"/>
  <c r="X25" i="2"/>
  <c r="W25" i="2"/>
  <c r="Y24" i="2"/>
  <c r="X24" i="2"/>
  <c r="W24" i="2"/>
  <c r="Y23" i="2"/>
  <c r="X23" i="2"/>
  <c r="W23" i="2"/>
  <c r="Y22" i="2"/>
  <c r="X22" i="2"/>
  <c r="W22" i="2"/>
  <c r="Y21" i="2"/>
  <c r="X21" i="2"/>
  <c r="W21" i="2"/>
  <c r="Y20" i="2"/>
  <c r="X20" i="2"/>
  <c r="W20" i="2"/>
  <c r="Y19" i="2"/>
  <c r="X19" i="2"/>
  <c r="W19" i="2"/>
  <c r="Y18" i="2"/>
  <c r="X18" i="2"/>
  <c r="W18" i="2"/>
  <c r="Y17" i="2"/>
  <c r="X17" i="2"/>
  <c r="W17" i="2"/>
  <c r="Y16" i="2"/>
  <c r="X16" i="2"/>
  <c r="W16" i="2"/>
  <c r="Y15" i="2"/>
  <c r="X15" i="2"/>
  <c r="W15" i="2"/>
  <c r="Y14" i="2"/>
  <c r="X14" i="2"/>
  <c r="W14" i="2"/>
  <c r="Y13" i="2"/>
  <c r="X13" i="2"/>
  <c r="W13" i="2"/>
  <c r="Y12" i="2"/>
  <c r="X12" i="2"/>
  <c r="W12" i="2"/>
  <c r="Y11" i="2"/>
  <c r="X11" i="2"/>
  <c r="W11" i="2"/>
  <c r="Y10" i="2"/>
  <c r="X10" i="2"/>
  <c r="W10" i="2"/>
  <c r="Y9" i="2"/>
  <c r="X9" i="2"/>
  <c r="W9" i="2"/>
  <c r="Y8" i="2"/>
  <c r="X8" i="2"/>
  <c r="W8" i="2"/>
  <c r="Y7" i="2"/>
  <c r="X7" i="2"/>
  <c r="W7" i="2"/>
  <c r="Y6" i="2"/>
  <c r="X6" i="2"/>
  <c r="W6" i="2"/>
  <c r="Y5" i="2"/>
  <c r="X5" i="2"/>
  <c r="W5" i="2"/>
  <c r="Y4" i="2"/>
  <c r="X4" i="2"/>
  <c r="W4" i="2"/>
  <c r="Y3" i="2"/>
  <c r="X3" i="2"/>
  <c r="W3" i="2"/>
  <c r="Y2" i="2"/>
  <c r="X2" i="2"/>
  <c r="W2" i="2"/>
  <c r="D21" i="3" l="1"/>
  <c r="H6" i="3"/>
  <c r="H13" i="3"/>
  <c r="D19" i="3"/>
  <c r="D20" i="3"/>
  <c r="B12" i="3"/>
  <c r="C7" i="3" s="1"/>
  <c r="D18" i="3"/>
  <c r="D23" i="3"/>
  <c r="D24" i="3"/>
  <c r="C20" i="3"/>
  <c r="H14" i="3" a="1"/>
  <c r="H14" i="3" s="1"/>
  <c r="C21" i="3"/>
  <c r="H5" i="3"/>
  <c r="C17" i="3"/>
  <c r="C22" i="3"/>
  <c r="C23" i="3"/>
  <c r="C18" i="3"/>
  <c r="C24" i="3"/>
  <c r="C8" i="3" l="1"/>
  <c r="C12" i="3"/>
  <c r="C9" i="3"/>
  <c r="C6" i="3"/>
  <c r="C10" i="3"/>
  <c r="C11" i="3"/>
</calcChain>
</file>

<file path=xl/sharedStrings.xml><?xml version="1.0" encoding="utf-8"?>
<sst xmlns="http://schemas.openxmlformats.org/spreadsheetml/2006/main" count="219" uniqueCount="152">
  <si>
    <t>Recruiting Tracker — Read Me</t>
  </si>
  <si>
    <t>How the workbook is organised and how to use it day-to-day.</t>
  </si>
  <si>
    <t>1.  The Tabs</t>
  </si>
  <si>
    <t>•  Tracker — one row per candidate. Type directly into the cells; the green columns on the far right fill in automatically.</t>
  </si>
  <si>
    <t>•  Dashboard — a live summary (candidates by role, pipeline funnel with conversion rates, status, and time in pipeline). It updates by itself as you edit the Tracker.</t>
  </si>
  <si>
    <t>•  Lists — the menu of choices behind every dropdown. Edit values here to change the available options.</t>
  </si>
  <si>
    <t>•  Read Me — this tab.</t>
  </si>
  <si>
    <t>2.  Adding a Candidate</t>
  </si>
  <si>
    <t>•  On the Tracker tab, type the candidate's name in the next empty row of column A.</t>
  </si>
  <si>
    <t>•  Fill the categorical fields with the dropdown arrow that appears when you click the cell (Role, Source, Screened?, statuses, interviewers, etc.).</t>
  </si>
  <si>
    <t>•  Enter dates as MM/DD/YYYY.</t>
  </si>
  <si>
    <t>•  Leave the last three columns alone — Pipeline Stage, Active / Closed and Days in Pipeline calculate themselves.</t>
  </si>
  <si>
    <t>3.  The Automatic Columns (green headers)</t>
  </si>
  <si>
    <t>•  Pipeline Stage — the furthest stage reached: Contacted → Screened → First Round → Partner → Assessment → Reference → Offer → Hired.</t>
  </si>
  <si>
    <t>•  Active / Closed — shows "Closed" once an offer is Accepted or Declined, or a candidate is Rejected; otherwise "Active".</t>
  </si>
  <si>
    <t>•  Days in Pipeline — number of days since Date Contacted.</t>
  </si>
  <si>
    <t>4.  Colour Coding</t>
  </si>
  <si>
    <t>•  Each role tints its whole row a distinct colour:</t>
  </si>
  <si>
    <t>Paralegal</t>
  </si>
  <si>
    <t>Legal Assistant</t>
  </si>
  <si>
    <t>Attorney – Mass Arbitration</t>
  </si>
  <si>
    <t>Attorney – Data Breach</t>
  </si>
  <si>
    <t>Attorney – Privacy</t>
  </si>
  <si>
    <t>Partner-Level Associate Attorney</t>
  </si>
  <si>
    <t>•  Offer Outcome cell colour: green = Accepted, red = Declined, amber = Pending.</t>
  </si>
  <si>
    <t>•  Attention flags appear automatically when a stage is overdue:</t>
  </si>
  <si>
    <t>Overdue</t>
  </si>
  <si>
    <t>Amber — a stage is taking too long and needs a nudge.</t>
  </si>
  <si>
    <t>Too long</t>
  </si>
  <si>
    <t>Red — an offer has been pending more than 14 days.</t>
  </si>
  <si>
    <t>5.  When the Attention Flags Trigger</t>
  </si>
  <si>
    <t>•  Contacted but still not screened after 10 days (amber on Screened?).</t>
  </si>
  <si>
    <t>•  Screened but no first-round date after 7 days (amber on First Round Date).</t>
  </si>
  <si>
    <t>•  Assessment sent but not returned after 5 days (amber on Return Date).</t>
  </si>
  <si>
    <t>•  Offer still Pending more than 14 days (red on Offer Initiated Date).</t>
  </si>
  <si>
    <t>•  These day thresholds are easy to change on request.</t>
  </si>
  <si>
    <t>6.  Filtering &amp; Sorting</t>
  </si>
  <si>
    <t>•  Every column header has a filter arrow — filter by Role, Pipeline Stage, Interviewer, Active / Closed, and more.</t>
  </si>
  <si>
    <t>•  To see only open candidates, filter Active / Closed = Active.</t>
  </si>
  <si>
    <t>•  The header row and the Name + Role columns stay frozen as you scroll.</t>
  </si>
  <si>
    <t>7.  Changing Dropdown Options</t>
  </si>
  <si>
    <t>•  Open the Lists tab and edit the values under the matching heading (for example, add a new interviewer).</t>
  </si>
  <si>
    <t>•  If you add a value beyond the current coloured range, the dropdown won't pick it up automatically — ask to have the range widened.</t>
  </si>
  <si>
    <t>8.  Before You Start</t>
  </si>
  <si>
    <t>•  Rows 2–5 of the Tracker are sample candidates included to show the colours and flags in action. Delete them before entering real data.</t>
  </si>
  <si>
    <t>Candidate Name</t>
  </si>
  <si>
    <t>Role / Position</t>
  </si>
  <si>
    <t>Date Contacted</t>
  </si>
  <si>
    <t>Source</t>
  </si>
  <si>
    <t>Contact Method</t>
  </si>
  <si>
    <t>Screened?</t>
  </si>
  <si>
    <t>Screened Date</t>
  </si>
  <si>
    <t>First Round Interview Status</t>
  </si>
  <si>
    <t>First Round Interviewer</t>
  </si>
  <si>
    <t>First Round Interview Date</t>
  </si>
  <si>
    <t>Second Round Status (Partner Round)</t>
  </si>
  <si>
    <t>Partner Interviewer</t>
  </si>
  <si>
    <t>Partner Interview Date</t>
  </si>
  <si>
    <t>Assessment Required?</t>
  </si>
  <si>
    <t>Assessment Sent Date</t>
  </si>
  <si>
    <t>Assessment Returned?</t>
  </si>
  <si>
    <t>Assessment Return Date</t>
  </si>
  <si>
    <t>Reference Check Status</t>
  </si>
  <si>
    <t>Offer Initiated?</t>
  </si>
  <si>
    <t>Offer Initiated Date</t>
  </si>
  <si>
    <t>Offer Outcome</t>
  </si>
  <si>
    <t>Final Status Notes</t>
  </si>
  <si>
    <t>Pipeline Stage</t>
  </si>
  <si>
    <t>Active / Closed</t>
  </si>
  <si>
    <t>Days in Pipeline</t>
  </si>
  <si>
    <t>Jordan Reyes</t>
  </si>
  <si>
    <t>Referral</t>
  </si>
  <si>
    <t>Yes</t>
  </si>
  <si>
    <t>Passed</t>
  </si>
  <si>
    <t>Amanda</t>
  </si>
  <si>
    <t>Scheduled</t>
  </si>
  <si>
    <t>Marc Reich</t>
  </si>
  <si>
    <t>No</t>
  </si>
  <si>
    <t>Not Started</t>
  </si>
  <si>
    <t>Strong paralegal; partner round scheduled.</t>
  </si>
  <si>
    <t>Priya Nair</t>
  </si>
  <si>
    <t>LinkedIn (Active)</t>
  </si>
  <si>
    <t>LinkedIn Active</t>
  </si>
  <si>
    <t>Screened; awaiting first-round scheduling.</t>
  </si>
  <si>
    <t>Marcus Webb</t>
  </si>
  <si>
    <t>Internal</t>
  </si>
  <si>
    <t>Email</t>
  </si>
  <si>
    <t>Tyler</t>
  </si>
  <si>
    <t>Completed</t>
  </si>
  <si>
    <t>Ed Korsinsky</t>
  </si>
  <si>
    <t>Pending</t>
  </si>
  <si>
    <t>Offer extended; awaiting candidate response.</t>
  </si>
  <si>
    <t>Sofia Klein</t>
  </si>
  <si>
    <t>University / School</t>
  </si>
  <si>
    <t>Melissa</t>
  </si>
  <si>
    <t>Accepted</t>
  </si>
  <si>
    <t>Hired – start date being finalized.</t>
  </si>
  <si>
    <t>Recruiting Pipeline Dashboard</t>
  </si>
  <si>
    <t>Live summary – updates automatically as you edit the Tracker tab.</t>
  </si>
  <si>
    <t>Candidates by Role</t>
  </si>
  <si>
    <t>Status Summary</t>
  </si>
  <si>
    <t>Count</t>
  </si>
  <si>
    <t>% of Total</t>
  </si>
  <si>
    <t>Active Candidates</t>
  </si>
  <si>
    <t>Closed Candidates</t>
  </si>
  <si>
    <t>Offers – Accepted</t>
  </si>
  <si>
    <t>Offers – Declined</t>
  </si>
  <si>
    <t>Offers – Pending</t>
  </si>
  <si>
    <t>Total</t>
  </si>
  <si>
    <t>Time in Pipeline</t>
  </si>
  <si>
    <t>Avg Days (Active)</t>
  </si>
  <si>
    <t>Longest Active (Days)</t>
  </si>
  <si>
    <t>Pipeline Funnel &amp; Conversion</t>
  </si>
  <si>
    <t>Total Candidates</t>
  </si>
  <si>
    <t>Stage</t>
  </si>
  <si>
    <t>% of Contacted</t>
  </si>
  <si>
    <t>Step Conversion</t>
  </si>
  <si>
    <t>"Days in Pipeline" = days since Date Contacted.</t>
  </si>
  <si>
    <t>Contacted</t>
  </si>
  <si>
    <t>—</t>
  </si>
  <si>
    <t>Screened</t>
  </si>
  <si>
    <t>First Round</t>
  </si>
  <si>
    <t>Partner Round</t>
  </si>
  <si>
    <t>Assessment</t>
  </si>
  <si>
    <t>Reference</t>
  </si>
  <si>
    <t>Offer</t>
  </si>
  <si>
    <t>Hired (Accepted)</t>
  </si>
  <si>
    <t>Legend – Conditional Formatting</t>
  </si>
  <si>
    <t>Amber = stage overdue (needs follow-up)</t>
  </si>
  <si>
    <t>Red = offer pending too long (&gt;14 days)</t>
  </si>
  <si>
    <t>Green = offer accepted</t>
  </si>
  <si>
    <t>Grey = candidate closed</t>
  </si>
  <si>
    <t>Role colours:</t>
  </si>
  <si>
    <t>Yes / No</t>
  </si>
  <si>
    <t>Interview Status</t>
  </si>
  <si>
    <t>Not Scheduled</t>
  </si>
  <si>
    <t>LinkedIn Passive</t>
  </si>
  <si>
    <t>In Progress</t>
  </si>
  <si>
    <t>Declined</t>
  </si>
  <si>
    <t>LinkedIn (Passive)</t>
  </si>
  <si>
    <t>Job Posting / Applicant</t>
  </si>
  <si>
    <t>Michael</t>
  </si>
  <si>
    <t>Other</t>
  </si>
  <si>
    <t>Rejected</t>
  </si>
  <si>
    <t>Trent</t>
  </si>
  <si>
    <t>On Hold</t>
  </si>
  <si>
    <t>Eleanor</t>
  </si>
  <si>
    <t>Cancelled</t>
  </si>
  <si>
    <t>Chris</t>
  </si>
  <si>
    <t>Gary</t>
  </si>
  <si>
    <t>Bhagavat</t>
  </si>
  <si>
    <t>Reference lists that drive the dropdowns on the Tracker tab. Edit values here to change the available options.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</si>
</sst>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i/>
      <sz val="9"/>
      <color rgb="FF808080"/>
      <name val="Calibri"/>
    </font>
    <font>
      <i/>
      <sz val="11"/>
      <color rgb="FF3F3F3F"/>
      <name val="Calibri"/>
    </font>
    <font>
      <b/>
      <sz val="16"/>
      <color rgb="FF1F4E78"/>
      <name val="Calibri"/>
    </font>
    <font>
      <b/>
      <sz val="12"/>
      <color rgb="FFFFFFFF"/>
      <name val="Calibri"/>
    </font>
    <font>
      <b/>
      <sz val="11"/>
      <name val="Calibri"/>
    </font>
    <font>
      <b/>
      <sz val="18"/>
      <color rgb="FF1F4E78"/>
      <name val="Calibri"/>
    </font>
    <font>
      <i/>
      <sz val="11"/>
      <color rgb="FF808080"/>
      <name val="Calibri"/>
    </font>
    <font>
      <b/>
      <sz val="11"/>
      <color rgb="FF000000"/>
      <name val="Calibri"/>
    </font>
    <font>
      <b/>
      <sz val="11"/>
      <color rgb="FF9C0006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1F4E78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4B183"/>
      </patternFill>
    </fill>
    <fill>
      <patternFill patternType="solid">
        <fgColor rgb="FFD5A6BD"/>
      </patternFill>
    </fill>
    <fill>
      <patternFill patternType="solid">
        <fgColor rgb="FFB4A7D6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4B183"/>
        <bgColor rgb="FFF4B183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0" fillId="17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 indent="1"/>
    </xf>
    <xf numFmtId="0" fontId="10" fillId="18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0" fontId="5" fillId="0" borderId="0" xfId="0" applyFont="1"/>
    <xf numFmtId="0" fontId="3" fillId="0" borderId="0" xfId="0" applyFont="1"/>
    <xf numFmtId="0" fontId="6" fillId="5" borderId="0" xfId="0" applyFont="1" applyFill="1" applyAlignment="1">
      <alignment horizontal="left" vertical="center" wrapText="1"/>
    </xf>
    <xf numFmtId="0" fontId="0" fillId="5" borderId="0" xfId="0" applyFill="1"/>
    <xf numFmtId="0" fontId="6" fillId="5" borderId="0" xfId="0" applyFont="1" applyFill="1"/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6" fontId="2" fillId="0" borderId="1" xfId="0" applyNumberFormat="1" applyFont="1" applyBorder="1" applyAlignment="1">
      <alignment horizontal="center" vertical="center" wrapText="1"/>
    </xf>
    <xf numFmtId="0" fontId="7" fillId="6" borderId="1" xfId="0" applyFont="1" applyFill="1" applyBorder="1"/>
    <xf numFmtId="166" fontId="7" fillId="6" borderId="1" xfId="0" applyNumberFormat="1" applyFont="1" applyFill="1" applyBorder="1"/>
    <xf numFmtId="0" fontId="0" fillId="7" borderId="1" xfId="0" applyFill="1" applyBorder="1"/>
    <xf numFmtId="0" fontId="2" fillId="0" borderId="0" xfId="0" applyFont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7" fillId="0" borderId="0" xfId="0" applyFont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1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indent="1"/>
    </xf>
    <xf numFmtId="0" fontId="0" fillId="0" borderId="0" xfId="0"/>
    <xf numFmtId="0" fontId="2" fillId="0" borderId="0" xfId="0" applyFont="1" applyAlignment="1">
      <alignment vertical="top" wrapText="1" indent="1"/>
    </xf>
    <xf numFmtId="0" fontId="9" fillId="0" borderId="0" xfId="0" applyFont="1" applyAlignment="1">
      <alignment vertical="center" wrapText="1" indent="1"/>
    </xf>
    <xf numFmtId="0" fontId="8" fillId="0" borderId="0" xfId="0" applyFont="1" applyAlignment="1">
      <alignment vertical="center" wrapText="1" indent="1"/>
    </xf>
  </cellXfs>
  <cellStyles count="1">
    <cellStyle name="Normal" xfId="0" builtinId="0"/>
  </cellStyles>
  <dxfs count="16">
    <dxf>
      <font>
        <b/>
        <color rgb="FF375623"/>
      </font>
    </dxf>
    <dxf>
      <font>
        <i/>
        <color rgb="FF808080"/>
      </font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DD7EE"/>
          <bgColor rgb="FFBDD7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2"/>
  <sheetViews>
    <sheetView showGridLines="0" workbookViewId="0"/>
  </sheetViews>
  <sheetFormatPr defaultRowHeight="15" x14ac:dyDescent="0.25"/>
  <cols>
    <col min="1" max="1" width="2" customWidth="1"/>
    <col min="2" max="2" width="30" customWidth="1"/>
    <col min="3" max="3" width="92" customWidth="1"/>
  </cols>
  <sheetData>
    <row r="1" spans="2:3" ht="27.95" customHeight="1" x14ac:dyDescent="0.25">
      <c r="B1" s="46" t="s">
        <v>0</v>
      </c>
      <c r="C1" s="43"/>
    </row>
    <row r="2" spans="2:3" x14ac:dyDescent="0.25">
      <c r="B2" s="45" t="s">
        <v>1</v>
      </c>
      <c r="C2" s="43"/>
    </row>
    <row r="4" spans="2:3" ht="21.95" customHeight="1" x14ac:dyDescent="0.25">
      <c r="B4" s="42" t="s">
        <v>2</v>
      </c>
      <c r="C4" s="43"/>
    </row>
    <row r="5" spans="2:3" x14ac:dyDescent="0.25">
      <c r="B5" s="44" t="s">
        <v>3</v>
      </c>
      <c r="C5" s="43"/>
    </row>
    <row r="6" spans="2:3" x14ac:dyDescent="0.25">
      <c r="B6" s="44" t="s">
        <v>4</v>
      </c>
      <c r="C6" s="43"/>
    </row>
    <row r="7" spans="2:3" x14ac:dyDescent="0.25">
      <c r="B7" s="44" t="s">
        <v>5</v>
      </c>
      <c r="C7" s="43"/>
    </row>
    <row r="8" spans="2:3" x14ac:dyDescent="0.25">
      <c r="B8" s="44" t="s">
        <v>6</v>
      </c>
      <c r="C8" s="43"/>
    </row>
    <row r="10" spans="2:3" ht="21.95" customHeight="1" x14ac:dyDescent="0.25">
      <c r="B10" s="42" t="s">
        <v>7</v>
      </c>
      <c r="C10" s="43"/>
    </row>
    <row r="11" spans="2:3" x14ac:dyDescent="0.25">
      <c r="B11" s="44" t="s">
        <v>8</v>
      </c>
      <c r="C11" s="43"/>
    </row>
    <row r="12" spans="2:3" x14ac:dyDescent="0.25">
      <c r="B12" s="44" t="s">
        <v>9</v>
      </c>
      <c r="C12" s="43"/>
    </row>
    <row r="13" spans="2:3" x14ac:dyDescent="0.25">
      <c r="B13" s="44" t="s">
        <v>10</v>
      </c>
      <c r="C13" s="43"/>
    </row>
    <row r="14" spans="2:3" x14ac:dyDescent="0.25">
      <c r="B14" s="44" t="s">
        <v>11</v>
      </c>
      <c r="C14" s="43"/>
    </row>
    <row r="16" spans="2:3" ht="21.95" customHeight="1" x14ac:dyDescent="0.25">
      <c r="B16" s="42" t="s">
        <v>12</v>
      </c>
      <c r="C16" s="43"/>
    </row>
    <row r="17" spans="2:3" x14ac:dyDescent="0.25">
      <c r="B17" s="44" t="s">
        <v>13</v>
      </c>
      <c r="C17" s="43"/>
    </row>
    <row r="18" spans="2:3" x14ac:dyDescent="0.25">
      <c r="B18" s="44" t="s">
        <v>14</v>
      </c>
      <c r="C18" s="43"/>
    </row>
    <row r="19" spans="2:3" x14ac:dyDescent="0.25">
      <c r="B19" s="44" t="s">
        <v>15</v>
      </c>
      <c r="C19" s="43"/>
    </row>
    <row r="21" spans="2:3" ht="21.95" customHeight="1" x14ac:dyDescent="0.25">
      <c r="B21" s="42" t="s">
        <v>16</v>
      </c>
      <c r="C21" s="43"/>
    </row>
    <row r="22" spans="2:3" x14ac:dyDescent="0.25">
      <c r="B22" s="44" t="s">
        <v>17</v>
      </c>
      <c r="C22" s="43"/>
    </row>
    <row r="23" spans="2:3" x14ac:dyDescent="0.25">
      <c r="B23" s="1"/>
      <c r="C23" s="2" t="s">
        <v>18</v>
      </c>
    </row>
    <row r="24" spans="2:3" x14ac:dyDescent="0.25">
      <c r="B24" s="3"/>
      <c r="C24" s="2" t="s">
        <v>19</v>
      </c>
    </row>
    <row r="25" spans="2:3" x14ac:dyDescent="0.25">
      <c r="B25" s="4"/>
      <c r="C25" s="2" t="s">
        <v>20</v>
      </c>
    </row>
    <row r="26" spans="2:3" x14ac:dyDescent="0.25">
      <c r="B26" s="5"/>
      <c r="C26" s="2" t="s">
        <v>21</v>
      </c>
    </row>
    <row r="27" spans="2:3" x14ac:dyDescent="0.25">
      <c r="B27" s="6"/>
      <c r="C27" s="2" t="s">
        <v>22</v>
      </c>
    </row>
    <row r="28" spans="2:3" x14ac:dyDescent="0.25">
      <c r="B28" s="7"/>
      <c r="C28" s="2" t="s">
        <v>23</v>
      </c>
    </row>
    <row r="30" spans="2:3" x14ac:dyDescent="0.25">
      <c r="B30" s="44" t="s">
        <v>24</v>
      </c>
      <c r="C30" s="43"/>
    </row>
    <row r="31" spans="2:3" x14ac:dyDescent="0.25">
      <c r="B31" s="44" t="s">
        <v>25</v>
      </c>
      <c r="C31" s="43"/>
    </row>
    <row r="32" spans="2:3" x14ac:dyDescent="0.25">
      <c r="B32" s="8" t="s">
        <v>26</v>
      </c>
      <c r="C32" s="2" t="s">
        <v>27</v>
      </c>
    </row>
    <row r="33" spans="2:3" x14ac:dyDescent="0.25">
      <c r="B33" s="9" t="s">
        <v>28</v>
      </c>
      <c r="C33" s="2" t="s">
        <v>29</v>
      </c>
    </row>
    <row r="35" spans="2:3" ht="21.95" customHeight="1" x14ac:dyDescent="0.25">
      <c r="B35" s="42" t="s">
        <v>30</v>
      </c>
      <c r="C35" s="43"/>
    </row>
    <row r="36" spans="2:3" x14ac:dyDescent="0.25">
      <c r="B36" s="44" t="s">
        <v>31</v>
      </c>
      <c r="C36" s="43"/>
    </row>
    <row r="37" spans="2:3" x14ac:dyDescent="0.25">
      <c r="B37" s="44" t="s">
        <v>32</v>
      </c>
      <c r="C37" s="43"/>
    </row>
    <row r="38" spans="2:3" x14ac:dyDescent="0.25">
      <c r="B38" s="44" t="s">
        <v>33</v>
      </c>
      <c r="C38" s="43"/>
    </row>
    <row r="39" spans="2:3" x14ac:dyDescent="0.25">
      <c r="B39" s="44" t="s">
        <v>34</v>
      </c>
      <c r="C39" s="43"/>
    </row>
    <row r="40" spans="2:3" x14ac:dyDescent="0.25">
      <c r="B40" s="44" t="s">
        <v>35</v>
      </c>
      <c r="C40" s="43"/>
    </row>
    <row r="42" spans="2:3" ht="21.95" customHeight="1" x14ac:dyDescent="0.25">
      <c r="B42" s="42" t="s">
        <v>36</v>
      </c>
      <c r="C42" s="43"/>
    </row>
    <row r="43" spans="2:3" x14ac:dyDescent="0.25">
      <c r="B43" s="44" t="s">
        <v>37</v>
      </c>
      <c r="C43" s="43"/>
    </row>
    <row r="44" spans="2:3" x14ac:dyDescent="0.25">
      <c r="B44" s="44" t="s">
        <v>38</v>
      </c>
      <c r="C44" s="43"/>
    </row>
    <row r="45" spans="2:3" x14ac:dyDescent="0.25">
      <c r="B45" s="44" t="s">
        <v>39</v>
      </c>
      <c r="C45" s="43"/>
    </row>
    <row r="47" spans="2:3" ht="21.95" customHeight="1" x14ac:dyDescent="0.25">
      <c r="B47" s="42" t="s">
        <v>40</v>
      </c>
      <c r="C47" s="43"/>
    </row>
    <row r="48" spans="2:3" x14ac:dyDescent="0.25">
      <c r="B48" s="44" t="s">
        <v>41</v>
      </c>
      <c r="C48" s="43"/>
    </row>
    <row r="49" spans="2:3" x14ac:dyDescent="0.25">
      <c r="B49" s="44" t="s">
        <v>42</v>
      </c>
      <c r="C49" s="43"/>
    </row>
    <row r="51" spans="2:3" ht="21.95" customHeight="1" x14ac:dyDescent="0.25">
      <c r="B51" s="42" t="s">
        <v>43</v>
      </c>
      <c r="C51" s="43"/>
    </row>
    <row r="52" spans="2:3" x14ac:dyDescent="0.25">
      <c r="B52" s="44" t="s">
        <v>44</v>
      </c>
      <c r="C52" s="43"/>
    </row>
  </sheetData>
  <mergeCells count="35">
    <mergeCell ref="B1:C1"/>
    <mergeCell ref="B8:C8"/>
    <mergeCell ref="B13:C13"/>
    <mergeCell ref="B38:C38"/>
    <mergeCell ref="B44:C44"/>
    <mergeCell ref="B19:C19"/>
    <mergeCell ref="B37:C37"/>
    <mergeCell ref="B10:C10"/>
    <mergeCell ref="B40:C40"/>
    <mergeCell ref="B6:C6"/>
    <mergeCell ref="B30:C30"/>
    <mergeCell ref="B5:C5"/>
    <mergeCell ref="B36:C36"/>
    <mergeCell ref="B35:C35"/>
    <mergeCell ref="B4:C4"/>
    <mergeCell ref="B52:C52"/>
    <mergeCell ref="B21:C21"/>
    <mergeCell ref="B2:C2"/>
    <mergeCell ref="B48:C48"/>
    <mergeCell ref="B11:C11"/>
    <mergeCell ref="B42:C42"/>
    <mergeCell ref="B14:C14"/>
    <mergeCell ref="B17:C17"/>
    <mergeCell ref="B49:C49"/>
    <mergeCell ref="B51:C51"/>
    <mergeCell ref="B45:C45"/>
    <mergeCell ref="B47:C47"/>
    <mergeCell ref="B16:C16"/>
    <mergeCell ref="B7:C7"/>
    <mergeCell ref="B22:C22"/>
    <mergeCell ref="B31:C31"/>
    <mergeCell ref="B18:C18"/>
    <mergeCell ref="B43:C43"/>
    <mergeCell ref="B12:C12"/>
    <mergeCell ref="B39:C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0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26" customWidth="1"/>
    <col min="3" max="3" width="14" customWidth="1"/>
    <col min="4" max="4" width="20" customWidth="1"/>
    <col min="5" max="5" width="16" customWidth="1"/>
    <col min="6" max="6" width="11" customWidth="1"/>
    <col min="7" max="7" width="14" customWidth="1"/>
    <col min="8" max="8" width="20" customWidth="1"/>
    <col min="9" max="9" width="17" customWidth="1"/>
    <col min="10" max="10" width="15" customWidth="1"/>
    <col min="11" max="11" width="20" customWidth="1"/>
    <col min="12" max="12" width="16" customWidth="1"/>
    <col min="13" max="13" width="15" customWidth="1"/>
    <col min="14" max="14" width="13" customWidth="1"/>
    <col min="15" max="15" width="14" customWidth="1"/>
    <col min="16" max="16" width="13" customWidth="1"/>
    <col min="17" max="17" width="14" customWidth="1"/>
    <col min="18" max="18" width="16" customWidth="1"/>
    <col min="19" max="19" width="12" customWidth="1"/>
    <col min="20" max="20" width="14" customWidth="1"/>
    <col min="21" max="21" width="13" customWidth="1"/>
    <col min="22" max="22" width="34" customWidth="1"/>
    <col min="23" max="23" width="14" customWidth="1"/>
    <col min="24" max="24" width="13" customWidth="1"/>
    <col min="25" max="25" width="12" customWidth="1"/>
  </cols>
  <sheetData>
    <row r="1" spans="1:25" ht="42" customHeight="1" x14ac:dyDescent="0.25">
      <c r="A1" s="10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  <c r="G1" s="10" t="s">
        <v>51</v>
      </c>
      <c r="H1" s="10" t="s">
        <v>52</v>
      </c>
      <c r="I1" s="10" t="s">
        <v>53</v>
      </c>
      <c r="J1" s="10" t="s">
        <v>54</v>
      </c>
      <c r="K1" s="10" t="s">
        <v>55</v>
      </c>
      <c r="L1" s="10" t="s">
        <v>56</v>
      </c>
      <c r="M1" s="10" t="s">
        <v>57</v>
      </c>
      <c r="N1" s="10" t="s">
        <v>58</v>
      </c>
      <c r="O1" s="10" t="s">
        <v>59</v>
      </c>
      <c r="P1" s="10" t="s">
        <v>60</v>
      </c>
      <c r="Q1" s="10" t="s">
        <v>61</v>
      </c>
      <c r="R1" s="10" t="s">
        <v>62</v>
      </c>
      <c r="S1" s="10" t="s">
        <v>63</v>
      </c>
      <c r="T1" s="10" t="s">
        <v>64</v>
      </c>
      <c r="U1" s="10" t="s">
        <v>65</v>
      </c>
      <c r="V1" s="10" t="s">
        <v>66</v>
      </c>
      <c r="W1" s="11" t="s">
        <v>67</v>
      </c>
      <c r="X1" s="11" t="s">
        <v>68</v>
      </c>
      <c r="Y1" s="11" t="s">
        <v>69</v>
      </c>
    </row>
    <row r="2" spans="1:25" ht="30" x14ac:dyDescent="0.25">
      <c r="A2" s="12" t="s">
        <v>70</v>
      </c>
      <c r="B2" s="13" t="s">
        <v>18</v>
      </c>
      <c r="C2" s="14">
        <v>46162</v>
      </c>
      <c r="D2" s="13" t="s">
        <v>71</v>
      </c>
      <c r="E2" s="13" t="s">
        <v>71</v>
      </c>
      <c r="F2" s="13" t="s">
        <v>72</v>
      </c>
      <c r="G2" s="14">
        <v>46165</v>
      </c>
      <c r="H2" s="13" t="s">
        <v>73</v>
      </c>
      <c r="I2" s="13" t="s">
        <v>74</v>
      </c>
      <c r="J2" s="14">
        <v>46170</v>
      </c>
      <c r="K2" s="13" t="s">
        <v>75</v>
      </c>
      <c r="L2" s="13" t="s">
        <v>76</v>
      </c>
      <c r="M2" s="14"/>
      <c r="N2" s="13" t="s">
        <v>77</v>
      </c>
      <c r="O2" s="14"/>
      <c r="P2" s="13"/>
      <c r="Q2" s="14"/>
      <c r="R2" s="13" t="s">
        <v>78</v>
      </c>
      <c r="S2" s="13" t="s">
        <v>77</v>
      </c>
      <c r="T2" s="14"/>
      <c r="U2" s="13"/>
      <c r="V2" s="12" t="s">
        <v>79</v>
      </c>
      <c r="W2" s="15" t="str">
        <f t="shared" ref="W2:W65" si="0">IF($A2="","",IF($U2="Accepted","Hired",IF($S2="Yes","Offer",IF(OR($R2="In Progress",$R2="Completed"),"Reference",IF(OR($P2="Yes",$O2&lt;&gt;""),"Assessment",IF(OR($M2&lt;&gt;"",$L2&lt;&gt;"",$K2&lt;&gt;""),"Partner",IF(OR($J2&lt;&gt;"",$I2&lt;&gt;"",$H2&lt;&gt;""),"First Round",IF($F2="Yes","Screened","Contacted"))))))))</f>
        <v>Partner</v>
      </c>
      <c r="X2" s="15" t="str">
        <f t="shared" ref="X2:X65" si="1">IF($A2="","",IF(OR($U2="Accepted",$U2="Declined",$H2="Rejected",$K2="Rejected"),"Closed","Active"))</f>
        <v>Active</v>
      </c>
      <c r="Y2" s="16">
        <f t="shared" ref="Y2:Y65" ca="1" si="2">IF($C2="","",TODAY()-$C2)</f>
        <v>36</v>
      </c>
    </row>
    <row r="3" spans="1:25" ht="30" x14ac:dyDescent="0.25">
      <c r="A3" s="12" t="s">
        <v>80</v>
      </c>
      <c r="B3" s="13" t="s">
        <v>21</v>
      </c>
      <c r="C3" s="14">
        <v>46127</v>
      </c>
      <c r="D3" s="13" t="s">
        <v>81</v>
      </c>
      <c r="E3" s="13" t="s">
        <v>82</v>
      </c>
      <c r="F3" s="13" t="s">
        <v>72</v>
      </c>
      <c r="G3" s="14">
        <v>46130</v>
      </c>
      <c r="H3" s="13"/>
      <c r="I3" s="13"/>
      <c r="J3" s="14"/>
      <c r="K3" s="13"/>
      <c r="L3" s="13"/>
      <c r="M3" s="14"/>
      <c r="N3" s="13" t="s">
        <v>72</v>
      </c>
      <c r="O3" s="14"/>
      <c r="P3" s="13"/>
      <c r="Q3" s="14"/>
      <c r="R3" s="13" t="s">
        <v>78</v>
      </c>
      <c r="S3" s="13" t="s">
        <v>77</v>
      </c>
      <c r="T3" s="14"/>
      <c r="U3" s="13"/>
      <c r="V3" s="12" t="s">
        <v>83</v>
      </c>
      <c r="W3" s="15" t="str">
        <f t="shared" si="0"/>
        <v>Screened</v>
      </c>
      <c r="X3" s="15" t="str">
        <f t="shared" si="1"/>
        <v>Active</v>
      </c>
      <c r="Y3" s="16">
        <f t="shared" ca="1" si="2"/>
        <v>71</v>
      </c>
    </row>
    <row r="4" spans="1:25" ht="30" x14ac:dyDescent="0.25">
      <c r="A4" s="12" t="s">
        <v>84</v>
      </c>
      <c r="B4" s="13" t="s">
        <v>23</v>
      </c>
      <c r="C4" s="14">
        <v>46082</v>
      </c>
      <c r="D4" s="13" t="s">
        <v>85</v>
      </c>
      <c r="E4" s="13" t="s">
        <v>86</v>
      </c>
      <c r="F4" s="13" t="s">
        <v>72</v>
      </c>
      <c r="G4" s="14">
        <v>46086</v>
      </c>
      <c r="H4" s="13" t="s">
        <v>73</v>
      </c>
      <c r="I4" s="13" t="s">
        <v>87</v>
      </c>
      <c r="J4" s="14">
        <v>46093</v>
      </c>
      <c r="K4" s="13" t="s">
        <v>88</v>
      </c>
      <c r="L4" s="13" t="s">
        <v>89</v>
      </c>
      <c r="M4" s="14">
        <v>46101</v>
      </c>
      <c r="N4" s="13" t="s">
        <v>72</v>
      </c>
      <c r="O4" s="14">
        <v>46103</v>
      </c>
      <c r="P4" s="13" t="s">
        <v>72</v>
      </c>
      <c r="Q4" s="14">
        <v>46109</v>
      </c>
      <c r="R4" s="13" t="s">
        <v>88</v>
      </c>
      <c r="S4" s="13" t="s">
        <v>72</v>
      </c>
      <c r="T4" s="14">
        <v>46113</v>
      </c>
      <c r="U4" s="13" t="s">
        <v>90</v>
      </c>
      <c r="V4" s="12" t="s">
        <v>91</v>
      </c>
      <c r="W4" s="15" t="str">
        <f t="shared" si="0"/>
        <v>Offer</v>
      </c>
      <c r="X4" s="15" t="str">
        <f t="shared" si="1"/>
        <v>Active</v>
      </c>
      <c r="Y4" s="16">
        <f t="shared" ca="1" si="2"/>
        <v>116</v>
      </c>
    </row>
    <row r="5" spans="1:25" x14ac:dyDescent="0.25">
      <c r="A5" s="12" t="s">
        <v>92</v>
      </c>
      <c r="B5" s="13" t="s">
        <v>19</v>
      </c>
      <c r="C5" s="14">
        <v>46063</v>
      </c>
      <c r="D5" s="13" t="s">
        <v>93</v>
      </c>
      <c r="E5" s="13" t="s">
        <v>86</v>
      </c>
      <c r="F5" s="13" t="s">
        <v>72</v>
      </c>
      <c r="G5" s="14">
        <v>46065</v>
      </c>
      <c r="H5" s="13" t="s">
        <v>73</v>
      </c>
      <c r="I5" s="13" t="s">
        <v>94</v>
      </c>
      <c r="J5" s="14">
        <v>46071</v>
      </c>
      <c r="K5" s="13" t="s">
        <v>88</v>
      </c>
      <c r="L5" s="13" t="s">
        <v>76</v>
      </c>
      <c r="M5" s="14">
        <v>46078</v>
      </c>
      <c r="N5" s="13" t="s">
        <v>77</v>
      </c>
      <c r="O5" s="14"/>
      <c r="P5" s="13"/>
      <c r="Q5" s="14"/>
      <c r="R5" s="13" t="s">
        <v>88</v>
      </c>
      <c r="S5" s="13" t="s">
        <v>72</v>
      </c>
      <c r="T5" s="14">
        <v>46083</v>
      </c>
      <c r="U5" s="13" t="s">
        <v>95</v>
      </c>
      <c r="V5" s="12" t="s">
        <v>96</v>
      </c>
      <c r="W5" s="15" t="str">
        <f t="shared" si="0"/>
        <v>Hired</v>
      </c>
      <c r="X5" s="15" t="str">
        <f t="shared" si="1"/>
        <v>Closed</v>
      </c>
      <c r="Y5" s="16">
        <f t="shared" ca="1" si="2"/>
        <v>135</v>
      </c>
    </row>
    <row r="6" spans="1:25" x14ac:dyDescent="0.25">
      <c r="C6" s="17"/>
      <c r="G6" s="17"/>
      <c r="J6" s="17"/>
      <c r="M6" s="17"/>
      <c r="O6" s="17"/>
      <c r="Q6" s="17"/>
      <c r="T6" s="17"/>
      <c r="W6" s="15" t="str">
        <f t="shared" si="0"/>
        <v/>
      </c>
      <c r="X6" s="15" t="str">
        <f t="shared" si="1"/>
        <v/>
      </c>
      <c r="Y6" s="16" t="str">
        <f t="shared" ca="1" si="2"/>
        <v/>
      </c>
    </row>
    <row r="7" spans="1:25" x14ac:dyDescent="0.25">
      <c r="C7" s="17"/>
      <c r="G7" s="17"/>
      <c r="J7" s="17"/>
      <c r="M7" s="17"/>
      <c r="O7" s="17"/>
      <c r="Q7" s="17"/>
      <c r="T7" s="17"/>
      <c r="W7" s="15" t="str">
        <f t="shared" si="0"/>
        <v/>
      </c>
      <c r="X7" s="15" t="str">
        <f t="shared" si="1"/>
        <v/>
      </c>
      <c r="Y7" s="16" t="str">
        <f t="shared" ca="1" si="2"/>
        <v/>
      </c>
    </row>
    <row r="8" spans="1:25" x14ac:dyDescent="0.25">
      <c r="C8" s="17"/>
      <c r="G8" s="17"/>
      <c r="J8" s="17"/>
      <c r="M8" s="17"/>
      <c r="O8" s="17"/>
      <c r="Q8" s="17"/>
      <c r="T8" s="17"/>
      <c r="W8" s="15" t="str">
        <f t="shared" si="0"/>
        <v/>
      </c>
      <c r="X8" s="15" t="str">
        <f t="shared" si="1"/>
        <v/>
      </c>
      <c r="Y8" s="16" t="str">
        <f t="shared" ca="1" si="2"/>
        <v/>
      </c>
    </row>
    <row r="9" spans="1:25" x14ac:dyDescent="0.25">
      <c r="C9" s="17"/>
      <c r="G9" s="17"/>
      <c r="J9" s="17"/>
      <c r="M9" s="17"/>
      <c r="O9" s="17"/>
      <c r="Q9" s="17"/>
      <c r="T9" s="17"/>
      <c r="W9" s="15" t="str">
        <f t="shared" si="0"/>
        <v/>
      </c>
      <c r="X9" s="15" t="str">
        <f t="shared" si="1"/>
        <v/>
      </c>
      <c r="Y9" s="16" t="str">
        <f t="shared" ca="1" si="2"/>
        <v/>
      </c>
    </row>
    <row r="10" spans="1:25" x14ac:dyDescent="0.25">
      <c r="C10" s="17"/>
      <c r="G10" s="17"/>
      <c r="J10" s="17"/>
      <c r="M10" s="17"/>
      <c r="O10" s="17"/>
      <c r="Q10" s="17"/>
      <c r="T10" s="17"/>
      <c r="W10" s="15" t="str">
        <f t="shared" si="0"/>
        <v/>
      </c>
      <c r="X10" s="15" t="str">
        <f t="shared" si="1"/>
        <v/>
      </c>
      <c r="Y10" s="16" t="str">
        <f t="shared" ca="1" si="2"/>
        <v/>
      </c>
    </row>
    <row r="11" spans="1:25" x14ac:dyDescent="0.25">
      <c r="C11" s="17"/>
      <c r="G11" s="17"/>
      <c r="J11" s="17"/>
      <c r="M11" s="17"/>
      <c r="O11" s="17"/>
      <c r="Q11" s="17"/>
      <c r="T11" s="17"/>
      <c r="W11" s="15" t="str">
        <f t="shared" si="0"/>
        <v/>
      </c>
      <c r="X11" s="15" t="str">
        <f t="shared" si="1"/>
        <v/>
      </c>
      <c r="Y11" s="16" t="str">
        <f t="shared" ca="1" si="2"/>
        <v/>
      </c>
    </row>
    <row r="12" spans="1:25" x14ac:dyDescent="0.25">
      <c r="C12" s="17"/>
      <c r="G12" s="17"/>
      <c r="J12" s="17"/>
      <c r="M12" s="17"/>
      <c r="O12" s="17"/>
      <c r="Q12" s="17"/>
      <c r="T12" s="17"/>
      <c r="W12" s="15" t="str">
        <f t="shared" si="0"/>
        <v/>
      </c>
      <c r="X12" s="15" t="str">
        <f t="shared" si="1"/>
        <v/>
      </c>
      <c r="Y12" s="16" t="str">
        <f t="shared" ca="1" si="2"/>
        <v/>
      </c>
    </row>
    <row r="13" spans="1:25" x14ac:dyDescent="0.25">
      <c r="C13" s="17"/>
      <c r="G13" s="17"/>
      <c r="J13" s="17"/>
      <c r="M13" s="17"/>
      <c r="O13" s="17"/>
      <c r="Q13" s="17"/>
      <c r="T13" s="17"/>
      <c r="W13" s="15" t="str">
        <f t="shared" si="0"/>
        <v/>
      </c>
      <c r="X13" s="15" t="str">
        <f t="shared" si="1"/>
        <v/>
      </c>
      <c r="Y13" s="16" t="str">
        <f t="shared" ca="1" si="2"/>
        <v/>
      </c>
    </row>
    <row r="14" spans="1:25" x14ac:dyDescent="0.25">
      <c r="C14" s="17"/>
      <c r="G14" s="17"/>
      <c r="J14" s="17"/>
      <c r="M14" s="17"/>
      <c r="O14" s="17"/>
      <c r="Q14" s="17"/>
      <c r="T14" s="17"/>
      <c r="W14" s="15" t="str">
        <f t="shared" si="0"/>
        <v/>
      </c>
      <c r="X14" s="15" t="str">
        <f t="shared" si="1"/>
        <v/>
      </c>
      <c r="Y14" s="16" t="str">
        <f t="shared" ca="1" si="2"/>
        <v/>
      </c>
    </row>
    <row r="15" spans="1:25" x14ac:dyDescent="0.25">
      <c r="C15" s="17"/>
      <c r="G15" s="17"/>
      <c r="J15" s="17"/>
      <c r="M15" s="17"/>
      <c r="O15" s="17"/>
      <c r="Q15" s="17"/>
      <c r="T15" s="17"/>
      <c r="W15" s="15" t="str">
        <f t="shared" si="0"/>
        <v/>
      </c>
      <c r="X15" s="15" t="str">
        <f t="shared" si="1"/>
        <v/>
      </c>
      <c r="Y15" s="16" t="str">
        <f t="shared" ca="1" si="2"/>
        <v/>
      </c>
    </row>
    <row r="16" spans="1:25" x14ac:dyDescent="0.25">
      <c r="C16" s="17"/>
      <c r="G16" s="17"/>
      <c r="J16" s="17"/>
      <c r="M16" s="17"/>
      <c r="O16" s="17"/>
      <c r="Q16" s="17"/>
      <c r="T16" s="17"/>
      <c r="W16" s="15" t="str">
        <f t="shared" si="0"/>
        <v/>
      </c>
      <c r="X16" s="15" t="str">
        <f t="shared" si="1"/>
        <v/>
      </c>
      <c r="Y16" s="16" t="str">
        <f t="shared" ca="1" si="2"/>
        <v/>
      </c>
    </row>
    <row r="17" spans="3:25" x14ac:dyDescent="0.25">
      <c r="C17" s="17"/>
      <c r="G17" s="17"/>
      <c r="J17" s="17"/>
      <c r="M17" s="17"/>
      <c r="O17" s="17"/>
      <c r="Q17" s="17"/>
      <c r="T17" s="17"/>
      <c r="W17" s="15" t="str">
        <f t="shared" si="0"/>
        <v/>
      </c>
      <c r="X17" s="15" t="str">
        <f t="shared" si="1"/>
        <v/>
      </c>
      <c r="Y17" s="16" t="str">
        <f t="shared" ca="1" si="2"/>
        <v/>
      </c>
    </row>
    <row r="18" spans="3:25" x14ac:dyDescent="0.25">
      <c r="C18" s="17"/>
      <c r="G18" s="17"/>
      <c r="J18" s="17"/>
      <c r="M18" s="17"/>
      <c r="O18" s="17"/>
      <c r="Q18" s="17"/>
      <c r="T18" s="17"/>
      <c r="W18" s="15" t="str">
        <f t="shared" si="0"/>
        <v/>
      </c>
      <c r="X18" s="15" t="str">
        <f t="shared" si="1"/>
        <v/>
      </c>
      <c r="Y18" s="16" t="str">
        <f t="shared" ca="1" si="2"/>
        <v/>
      </c>
    </row>
    <row r="19" spans="3:25" x14ac:dyDescent="0.25">
      <c r="C19" s="17"/>
      <c r="G19" s="17"/>
      <c r="J19" s="17"/>
      <c r="M19" s="17"/>
      <c r="O19" s="17"/>
      <c r="Q19" s="17"/>
      <c r="T19" s="17"/>
      <c r="W19" s="15" t="str">
        <f t="shared" si="0"/>
        <v/>
      </c>
      <c r="X19" s="15" t="str">
        <f t="shared" si="1"/>
        <v/>
      </c>
      <c r="Y19" s="16" t="str">
        <f t="shared" ca="1" si="2"/>
        <v/>
      </c>
    </row>
    <row r="20" spans="3:25" x14ac:dyDescent="0.25">
      <c r="C20" s="17"/>
      <c r="G20" s="17"/>
      <c r="J20" s="17"/>
      <c r="M20" s="17"/>
      <c r="O20" s="17"/>
      <c r="Q20" s="17"/>
      <c r="T20" s="17"/>
      <c r="W20" s="15" t="str">
        <f t="shared" si="0"/>
        <v/>
      </c>
      <c r="X20" s="15" t="str">
        <f t="shared" si="1"/>
        <v/>
      </c>
      <c r="Y20" s="16" t="str">
        <f t="shared" ca="1" si="2"/>
        <v/>
      </c>
    </row>
    <row r="21" spans="3:25" x14ac:dyDescent="0.25">
      <c r="C21" s="17"/>
      <c r="G21" s="17"/>
      <c r="J21" s="17"/>
      <c r="M21" s="17"/>
      <c r="O21" s="17"/>
      <c r="Q21" s="17"/>
      <c r="T21" s="17"/>
      <c r="W21" s="15" t="str">
        <f t="shared" si="0"/>
        <v/>
      </c>
      <c r="X21" s="15" t="str">
        <f t="shared" si="1"/>
        <v/>
      </c>
      <c r="Y21" s="16" t="str">
        <f t="shared" ca="1" si="2"/>
        <v/>
      </c>
    </row>
    <row r="22" spans="3:25" x14ac:dyDescent="0.25">
      <c r="C22" s="17"/>
      <c r="G22" s="17"/>
      <c r="J22" s="17"/>
      <c r="M22" s="17"/>
      <c r="O22" s="17"/>
      <c r="Q22" s="17"/>
      <c r="T22" s="17"/>
      <c r="W22" s="15" t="str">
        <f t="shared" si="0"/>
        <v/>
      </c>
      <c r="X22" s="15" t="str">
        <f t="shared" si="1"/>
        <v/>
      </c>
      <c r="Y22" s="16" t="str">
        <f t="shared" ca="1" si="2"/>
        <v/>
      </c>
    </row>
    <row r="23" spans="3:25" x14ac:dyDescent="0.25">
      <c r="C23" s="17"/>
      <c r="G23" s="17"/>
      <c r="J23" s="17"/>
      <c r="M23" s="17"/>
      <c r="O23" s="17"/>
      <c r="Q23" s="17"/>
      <c r="T23" s="17"/>
      <c r="W23" s="15" t="str">
        <f t="shared" si="0"/>
        <v/>
      </c>
      <c r="X23" s="15" t="str">
        <f t="shared" si="1"/>
        <v/>
      </c>
      <c r="Y23" s="16" t="str">
        <f t="shared" ca="1" si="2"/>
        <v/>
      </c>
    </row>
    <row r="24" spans="3:25" x14ac:dyDescent="0.25">
      <c r="C24" s="17"/>
      <c r="G24" s="17"/>
      <c r="J24" s="17"/>
      <c r="M24" s="17"/>
      <c r="O24" s="17"/>
      <c r="Q24" s="17"/>
      <c r="T24" s="17"/>
      <c r="W24" s="15" t="str">
        <f t="shared" si="0"/>
        <v/>
      </c>
      <c r="X24" s="15" t="str">
        <f t="shared" si="1"/>
        <v/>
      </c>
      <c r="Y24" s="16" t="str">
        <f t="shared" ca="1" si="2"/>
        <v/>
      </c>
    </row>
    <row r="25" spans="3:25" x14ac:dyDescent="0.25">
      <c r="C25" s="17"/>
      <c r="G25" s="17"/>
      <c r="J25" s="17"/>
      <c r="M25" s="17"/>
      <c r="O25" s="17"/>
      <c r="Q25" s="17"/>
      <c r="T25" s="17"/>
      <c r="W25" s="15" t="str">
        <f t="shared" si="0"/>
        <v/>
      </c>
      <c r="X25" s="15" t="str">
        <f t="shared" si="1"/>
        <v/>
      </c>
      <c r="Y25" s="16" t="str">
        <f t="shared" ca="1" si="2"/>
        <v/>
      </c>
    </row>
    <row r="26" spans="3:25" x14ac:dyDescent="0.25">
      <c r="C26" s="17"/>
      <c r="G26" s="17"/>
      <c r="J26" s="17"/>
      <c r="M26" s="17"/>
      <c r="O26" s="17"/>
      <c r="Q26" s="17"/>
      <c r="T26" s="17"/>
      <c r="W26" s="15" t="str">
        <f t="shared" si="0"/>
        <v/>
      </c>
      <c r="X26" s="15" t="str">
        <f t="shared" si="1"/>
        <v/>
      </c>
      <c r="Y26" s="16" t="str">
        <f t="shared" ca="1" si="2"/>
        <v/>
      </c>
    </row>
    <row r="27" spans="3:25" x14ac:dyDescent="0.25">
      <c r="C27" s="17"/>
      <c r="G27" s="17"/>
      <c r="J27" s="17"/>
      <c r="M27" s="17"/>
      <c r="O27" s="17"/>
      <c r="Q27" s="17"/>
      <c r="T27" s="17"/>
      <c r="W27" s="15" t="str">
        <f t="shared" si="0"/>
        <v/>
      </c>
      <c r="X27" s="15" t="str">
        <f t="shared" si="1"/>
        <v/>
      </c>
      <c r="Y27" s="16" t="str">
        <f t="shared" ca="1" si="2"/>
        <v/>
      </c>
    </row>
    <row r="28" spans="3:25" x14ac:dyDescent="0.25">
      <c r="C28" s="17"/>
      <c r="G28" s="17"/>
      <c r="J28" s="17"/>
      <c r="M28" s="17"/>
      <c r="O28" s="17"/>
      <c r="Q28" s="17"/>
      <c r="T28" s="17"/>
      <c r="W28" s="15" t="str">
        <f t="shared" si="0"/>
        <v/>
      </c>
      <c r="X28" s="15" t="str">
        <f t="shared" si="1"/>
        <v/>
      </c>
      <c r="Y28" s="16" t="str">
        <f t="shared" ca="1" si="2"/>
        <v/>
      </c>
    </row>
    <row r="29" spans="3:25" x14ac:dyDescent="0.25">
      <c r="C29" s="17"/>
      <c r="G29" s="17"/>
      <c r="J29" s="17"/>
      <c r="M29" s="17"/>
      <c r="O29" s="17"/>
      <c r="Q29" s="17"/>
      <c r="T29" s="17"/>
      <c r="W29" s="15" t="str">
        <f t="shared" si="0"/>
        <v/>
      </c>
      <c r="X29" s="15" t="str">
        <f t="shared" si="1"/>
        <v/>
      </c>
      <c r="Y29" s="16" t="str">
        <f t="shared" ca="1" si="2"/>
        <v/>
      </c>
    </row>
    <row r="30" spans="3:25" x14ac:dyDescent="0.25">
      <c r="C30" s="17"/>
      <c r="G30" s="17"/>
      <c r="J30" s="17"/>
      <c r="M30" s="17"/>
      <c r="O30" s="17"/>
      <c r="Q30" s="17"/>
      <c r="T30" s="17"/>
      <c r="W30" s="15" t="str">
        <f t="shared" si="0"/>
        <v/>
      </c>
      <c r="X30" s="15" t="str">
        <f t="shared" si="1"/>
        <v/>
      </c>
      <c r="Y30" s="16" t="str">
        <f t="shared" ca="1" si="2"/>
        <v/>
      </c>
    </row>
    <row r="31" spans="3:25" x14ac:dyDescent="0.25">
      <c r="C31" s="17"/>
      <c r="G31" s="17"/>
      <c r="J31" s="17"/>
      <c r="M31" s="17"/>
      <c r="O31" s="17"/>
      <c r="Q31" s="17"/>
      <c r="T31" s="17"/>
      <c r="W31" s="15" t="str">
        <f t="shared" si="0"/>
        <v/>
      </c>
      <c r="X31" s="15" t="str">
        <f t="shared" si="1"/>
        <v/>
      </c>
      <c r="Y31" s="16" t="str">
        <f t="shared" ca="1" si="2"/>
        <v/>
      </c>
    </row>
    <row r="32" spans="3:25" x14ac:dyDescent="0.25">
      <c r="C32" s="17"/>
      <c r="G32" s="17"/>
      <c r="J32" s="17"/>
      <c r="M32" s="17"/>
      <c r="O32" s="17"/>
      <c r="Q32" s="17"/>
      <c r="T32" s="17"/>
      <c r="W32" s="15" t="str">
        <f t="shared" si="0"/>
        <v/>
      </c>
      <c r="X32" s="15" t="str">
        <f t="shared" si="1"/>
        <v/>
      </c>
      <c r="Y32" s="16" t="str">
        <f t="shared" ca="1" si="2"/>
        <v/>
      </c>
    </row>
    <row r="33" spans="3:25" x14ac:dyDescent="0.25">
      <c r="C33" s="17"/>
      <c r="G33" s="17"/>
      <c r="J33" s="17"/>
      <c r="M33" s="17"/>
      <c r="O33" s="17"/>
      <c r="Q33" s="17"/>
      <c r="T33" s="17"/>
      <c r="W33" s="15" t="str">
        <f t="shared" si="0"/>
        <v/>
      </c>
      <c r="X33" s="15" t="str">
        <f t="shared" si="1"/>
        <v/>
      </c>
      <c r="Y33" s="16" t="str">
        <f t="shared" ca="1" si="2"/>
        <v/>
      </c>
    </row>
    <row r="34" spans="3:25" x14ac:dyDescent="0.25">
      <c r="C34" s="17"/>
      <c r="G34" s="17"/>
      <c r="J34" s="17"/>
      <c r="M34" s="17"/>
      <c r="O34" s="17"/>
      <c r="Q34" s="17"/>
      <c r="T34" s="17"/>
      <c r="W34" s="15" t="str">
        <f t="shared" si="0"/>
        <v/>
      </c>
      <c r="X34" s="15" t="str">
        <f t="shared" si="1"/>
        <v/>
      </c>
      <c r="Y34" s="16" t="str">
        <f t="shared" ca="1" si="2"/>
        <v/>
      </c>
    </row>
    <row r="35" spans="3:25" x14ac:dyDescent="0.25">
      <c r="C35" s="17"/>
      <c r="G35" s="17"/>
      <c r="J35" s="17"/>
      <c r="M35" s="17"/>
      <c r="O35" s="17"/>
      <c r="Q35" s="17"/>
      <c r="T35" s="17"/>
      <c r="W35" s="15" t="str">
        <f t="shared" si="0"/>
        <v/>
      </c>
      <c r="X35" s="15" t="str">
        <f t="shared" si="1"/>
        <v/>
      </c>
      <c r="Y35" s="16" t="str">
        <f t="shared" ca="1" si="2"/>
        <v/>
      </c>
    </row>
    <row r="36" spans="3:25" x14ac:dyDescent="0.25">
      <c r="C36" s="17"/>
      <c r="G36" s="17"/>
      <c r="J36" s="17"/>
      <c r="M36" s="17"/>
      <c r="O36" s="17"/>
      <c r="Q36" s="17"/>
      <c r="T36" s="17"/>
      <c r="W36" s="15" t="str">
        <f t="shared" si="0"/>
        <v/>
      </c>
      <c r="X36" s="15" t="str">
        <f t="shared" si="1"/>
        <v/>
      </c>
      <c r="Y36" s="16" t="str">
        <f t="shared" ca="1" si="2"/>
        <v/>
      </c>
    </row>
    <row r="37" spans="3:25" x14ac:dyDescent="0.25">
      <c r="C37" s="17"/>
      <c r="G37" s="17"/>
      <c r="J37" s="17"/>
      <c r="M37" s="17"/>
      <c r="O37" s="17"/>
      <c r="Q37" s="17"/>
      <c r="T37" s="17"/>
      <c r="W37" s="15" t="str">
        <f t="shared" si="0"/>
        <v/>
      </c>
      <c r="X37" s="15" t="str">
        <f t="shared" si="1"/>
        <v/>
      </c>
      <c r="Y37" s="16" t="str">
        <f t="shared" ca="1" si="2"/>
        <v/>
      </c>
    </row>
    <row r="38" spans="3:25" x14ac:dyDescent="0.25">
      <c r="C38" s="17"/>
      <c r="G38" s="17"/>
      <c r="J38" s="17"/>
      <c r="M38" s="17"/>
      <c r="O38" s="17"/>
      <c r="Q38" s="17"/>
      <c r="T38" s="17"/>
      <c r="W38" s="15" t="str">
        <f t="shared" si="0"/>
        <v/>
      </c>
      <c r="X38" s="15" t="str">
        <f t="shared" si="1"/>
        <v/>
      </c>
      <c r="Y38" s="16" t="str">
        <f t="shared" ca="1" si="2"/>
        <v/>
      </c>
    </row>
    <row r="39" spans="3:25" x14ac:dyDescent="0.25">
      <c r="C39" s="17"/>
      <c r="G39" s="17"/>
      <c r="J39" s="17"/>
      <c r="M39" s="17"/>
      <c r="O39" s="17"/>
      <c r="Q39" s="17"/>
      <c r="T39" s="17"/>
      <c r="W39" s="15" t="str">
        <f t="shared" si="0"/>
        <v/>
      </c>
      <c r="X39" s="15" t="str">
        <f t="shared" si="1"/>
        <v/>
      </c>
      <c r="Y39" s="16" t="str">
        <f t="shared" ca="1" si="2"/>
        <v/>
      </c>
    </row>
    <row r="40" spans="3:25" x14ac:dyDescent="0.25">
      <c r="C40" s="17"/>
      <c r="G40" s="17"/>
      <c r="J40" s="17"/>
      <c r="M40" s="17"/>
      <c r="O40" s="17"/>
      <c r="Q40" s="17"/>
      <c r="T40" s="17"/>
      <c r="W40" s="15" t="str">
        <f t="shared" si="0"/>
        <v/>
      </c>
      <c r="X40" s="15" t="str">
        <f t="shared" si="1"/>
        <v/>
      </c>
      <c r="Y40" s="16" t="str">
        <f t="shared" ca="1" si="2"/>
        <v/>
      </c>
    </row>
    <row r="41" spans="3:25" x14ac:dyDescent="0.25">
      <c r="C41" s="17"/>
      <c r="G41" s="17"/>
      <c r="J41" s="17"/>
      <c r="M41" s="17"/>
      <c r="O41" s="17"/>
      <c r="Q41" s="17"/>
      <c r="T41" s="17"/>
      <c r="W41" s="15" t="str">
        <f t="shared" si="0"/>
        <v/>
      </c>
      <c r="X41" s="15" t="str">
        <f t="shared" si="1"/>
        <v/>
      </c>
      <c r="Y41" s="16" t="str">
        <f t="shared" ca="1" si="2"/>
        <v/>
      </c>
    </row>
    <row r="42" spans="3:25" x14ac:dyDescent="0.25">
      <c r="C42" s="17"/>
      <c r="G42" s="17"/>
      <c r="J42" s="17"/>
      <c r="M42" s="17"/>
      <c r="O42" s="17"/>
      <c r="Q42" s="17"/>
      <c r="T42" s="17"/>
      <c r="W42" s="15" t="str">
        <f t="shared" si="0"/>
        <v/>
      </c>
      <c r="X42" s="15" t="str">
        <f t="shared" si="1"/>
        <v/>
      </c>
      <c r="Y42" s="16" t="str">
        <f t="shared" ca="1" si="2"/>
        <v/>
      </c>
    </row>
    <row r="43" spans="3:25" x14ac:dyDescent="0.25">
      <c r="C43" s="17"/>
      <c r="G43" s="17"/>
      <c r="J43" s="17"/>
      <c r="M43" s="17"/>
      <c r="O43" s="17"/>
      <c r="Q43" s="17"/>
      <c r="T43" s="17"/>
      <c r="W43" s="15" t="str">
        <f t="shared" si="0"/>
        <v/>
      </c>
      <c r="X43" s="15" t="str">
        <f t="shared" si="1"/>
        <v/>
      </c>
      <c r="Y43" s="16" t="str">
        <f t="shared" ca="1" si="2"/>
        <v/>
      </c>
    </row>
    <row r="44" spans="3:25" x14ac:dyDescent="0.25">
      <c r="C44" s="17"/>
      <c r="G44" s="17"/>
      <c r="J44" s="17"/>
      <c r="M44" s="17"/>
      <c r="O44" s="17"/>
      <c r="Q44" s="17"/>
      <c r="T44" s="17"/>
      <c r="W44" s="15" t="str">
        <f t="shared" si="0"/>
        <v/>
      </c>
      <c r="X44" s="15" t="str">
        <f t="shared" si="1"/>
        <v/>
      </c>
      <c r="Y44" s="16" t="str">
        <f t="shared" ca="1" si="2"/>
        <v/>
      </c>
    </row>
    <row r="45" spans="3:25" x14ac:dyDescent="0.25">
      <c r="C45" s="17"/>
      <c r="G45" s="17"/>
      <c r="J45" s="17"/>
      <c r="M45" s="17"/>
      <c r="O45" s="17"/>
      <c r="Q45" s="17"/>
      <c r="T45" s="17"/>
      <c r="W45" s="15" t="str">
        <f t="shared" si="0"/>
        <v/>
      </c>
      <c r="X45" s="15" t="str">
        <f t="shared" si="1"/>
        <v/>
      </c>
      <c r="Y45" s="16" t="str">
        <f t="shared" ca="1" si="2"/>
        <v/>
      </c>
    </row>
    <row r="46" spans="3:25" x14ac:dyDescent="0.25">
      <c r="C46" s="17"/>
      <c r="G46" s="17"/>
      <c r="J46" s="17"/>
      <c r="M46" s="17"/>
      <c r="O46" s="17"/>
      <c r="Q46" s="17"/>
      <c r="T46" s="17"/>
      <c r="W46" s="15" t="str">
        <f t="shared" si="0"/>
        <v/>
      </c>
      <c r="X46" s="15" t="str">
        <f t="shared" si="1"/>
        <v/>
      </c>
      <c r="Y46" s="16" t="str">
        <f t="shared" ca="1" si="2"/>
        <v/>
      </c>
    </row>
    <row r="47" spans="3:25" x14ac:dyDescent="0.25">
      <c r="C47" s="17"/>
      <c r="G47" s="17"/>
      <c r="J47" s="17"/>
      <c r="M47" s="17"/>
      <c r="O47" s="17"/>
      <c r="Q47" s="17"/>
      <c r="T47" s="17"/>
      <c r="W47" s="15" t="str">
        <f t="shared" si="0"/>
        <v/>
      </c>
      <c r="X47" s="15" t="str">
        <f t="shared" si="1"/>
        <v/>
      </c>
      <c r="Y47" s="16" t="str">
        <f t="shared" ca="1" si="2"/>
        <v/>
      </c>
    </row>
    <row r="48" spans="3:25" x14ac:dyDescent="0.25">
      <c r="C48" s="17"/>
      <c r="G48" s="17"/>
      <c r="J48" s="17"/>
      <c r="M48" s="17"/>
      <c r="O48" s="17"/>
      <c r="Q48" s="17"/>
      <c r="T48" s="17"/>
      <c r="W48" s="15" t="str">
        <f t="shared" si="0"/>
        <v/>
      </c>
      <c r="X48" s="15" t="str">
        <f t="shared" si="1"/>
        <v/>
      </c>
      <c r="Y48" s="16" t="str">
        <f t="shared" ca="1" si="2"/>
        <v/>
      </c>
    </row>
    <row r="49" spans="3:25" x14ac:dyDescent="0.25">
      <c r="C49" s="17"/>
      <c r="G49" s="17"/>
      <c r="J49" s="17"/>
      <c r="M49" s="17"/>
      <c r="O49" s="17"/>
      <c r="Q49" s="17"/>
      <c r="T49" s="17"/>
      <c r="W49" s="15" t="str">
        <f t="shared" si="0"/>
        <v/>
      </c>
      <c r="X49" s="15" t="str">
        <f t="shared" si="1"/>
        <v/>
      </c>
      <c r="Y49" s="16" t="str">
        <f t="shared" ca="1" si="2"/>
        <v/>
      </c>
    </row>
    <row r="50" spans="3:25" x14ac:dyDescent="0.25">
      <c r="C50" s="17"/>
      <c r="G50" s="17"/>
      <c r="J50" s="17"/>
      <c r="M50" s="17"/>
      <c r="O50" s="17"/>
      <c r="Q50" s="17"/>
      <c r="T50" s="17"/>
      <c r="W50" s="15" t="str">
        <f t="shared" si="0"/>
        <v/>
      </c>
      <c r="X50" s="15" t="str">
        <f t="shared" si="1"/>
        <v/>
      </c>
      <c r="Y50" s="16" t="str">
        <f t="shared" ca="1" si="2"/>
        <v/>
      </c>
    </row>
    <row r="51" spans="3:25" x14ac:dyDescent="0.25">
      <c r="C51" s="17"/>
      <c r="G51" s="17"/>
      <c r="J51" s="17"/>
      <c r="M51" s="17"/>
      <c r="O51" s="17"/>
      <c r="Q51" s="17"/>
      <c r="T51" s="17"/>
      <c r="W51" s="15" t="str">
        <f t="shared" si="0"/>
        <v/>
      </c>
      <c r="X51" s="15" t="str">
        <f t="shared" si="1"/>
        <v/>
      </c>
      <c r="Y51" s="16" t="str">
        <f t="shared" ca="1" si="2"/>
        <v/>
      </c>
    </row>
    <row r="52" spans="3:25" x14ac:dyDescent="0.25">
      <c r="C52" s="17"/>
      <c r="G52" s="17"/>
      <c r="J52" s="17"/>
      <c r="M52" s="17"/>
      <c r="O52" s="17"/>
      <c r="Q52" s="17"/>
      <c r="T52" s="17"/>
      <c r="W52" s="15" t="str">
        <f t="shared" si="0"/>
        <v/>
      </c>
      <c r="X52" s="15" t="str">
        <f t="shared" si="1"/>
        <v/>
      </c>
      <c r="Y52" s="16" t="str">
        <f t="shared" ca="1" si="2"/>
        <v/>
      </c>
    </row>
    <row r="53" spans="3:25" x14ac:dyDescent="0.25">
      <c r="C53" s="17"/>
      <c r="G53" s="17"/>
      <c r="J53" s="17"/>
      <c r="M53" s="17"/>
      <c r="O53" s="17"/>
      <c r="Q53" s="17"/>
      <c r="T53" s="17"/>
      <c r="W53" s="15" t="str">
        <f t="shared" si="0"/>
        <v/>
      </c>
      <c r="X53" s="15" t="str">
        <f t="shared" si="1"/>
        <v/>
      </c>
      <c r="Y53" s="16" t="str">
        <f t="shared" ca="1" si="2"/>
        <v/>
      </c>
    </row>
    <row r="54" spans="3:25" x14ac:dyDescent="0.25">
      <c r="C54" s="17"/>
      <c r="G54" s="17"/>
      <c r="J54" s="17"/>
      <c r="M54" s="17"/>
      <c r="O54" s="17"/>
      <c r="Q54" s="17"/>
      <c r="T54" s="17"/>
      <c r="W54" s="15" t="str">
        <f t="shared" si="0"/>
        <v/>
      </c>
      <c r="X54" s="15" t="str">
        <f t="shared" si="1"/>
        <v/>
      </c>
      <c r="Y54" s="16" t="str">
        <f t="shared" ca="1" si="2"/>
        <v/>
      </c>
    </row>
    <row r="55" spans="3:25" x14ac:dyDescent="0.25">
      <c r="C55" s="17"/>
      <c r="G55" s="17"/>
      <c r="J55" s="17"/>
      <c r="M55" s="17"/>
      <c r="O55" s="17"/>
      <c r="Q55" s="17"/>
      <c r="T55" s="17"/>
      <c r="W55" s="15" t="str">
        <f t="shared" si="0"/>
        <v/>
      </c>
      <c r="X55" s="15" t="str">
        <f t="shared" si="1"/>
        <v/>
      </c>
      <c r="Y55" s="16" t="str">
        <f t="shared" ca="1" si="2"/>
        <v/>
      </c>
    </row>
    <row r="56" spans="3:25" x14ac:dyDescent="0.25">
      <c r="C56" s="17"/>
      <c r="G56" s="17"/>
      <c r="J56" s="17"/>
      <c r="M56" s="17"/>
      <c r="O56" s="17"/>
      <c r="Q56" s="17"/>
      <c r="T56" s="17"/>
      <c r="W56" s="15" t="str">
        <f t="shared" si="0"/>
        <v/>
      </c>
      <c r="X56" s="15" t="str">
        <f t="shared" si="1"/>
        <v/>
      </c>
      <c r="Y56" s="16" t="str">
        <f t="shared" ca="1" si="2"/>
        <v/>
      </c>
    </row>
    <row r="57" spans="3:25" x14ac:dyDescent="0.25">
      <c r="C57" s="17"/>
      <c r="G57" s="17"/>
      <c r="J57" s="17"/>
      <c r="M57" s="17"/>
      <c r="O57" s="17"/>
      <c r="Q57" s="17"/>
      <c r="T57" s="17"/>
      <c r="W57" s="15" t="str">
        <f t="shared" si="0"/>
        <v/>
      </c>
      <c r="X57" s="15" t="str">
        <f t="shared" si="1"/>
        <v/>
      </c>
      <c r="Y57" s="16" t="str">
        <f t="shared" ca="1" si="2"/>
        <v/>
      </c>
    </row>
    <row r="58" spans="3:25" x14ac:dyDescent="0.25">
      <c r="C58" s="17"/>
      <c r="G58" s="17"/>
      <c r="J58" s="17"/>
      <c r="M58" s="17"/>
      <c r="O58" s="17"/>
      <c r="Q58" s="17"/>
      <c r="T58" s="17"/>
      <c r="W58" s="15" t="str">
        <f t="shared" si="0"/>
        <v/>
      </c>
      <c r="X58" s="15" t="str">
        <f t="shared" si="1"/>
        <v/>
      </c>
      <c r="Y58" s="16" t="str">
        <f t="shared" ca="1" si="2"/>
        <v/>
      </c>
    </row>
    <row r="59" spans="3:25" x14ac:dyDescent="0.25">
      <c r="C59" s="17"/>
      <c r="G59" s="17"/>
      <c r="J59" s="17"/>
      <c r="M59" s="17"/>
      <c r="O59" s="17"/>
      <c r="Q59" s="17"/>
      <c r="T59" s="17"/>
      <c r="W59" s="15" t="str">
        <f t="shared" si="0"/>
        <v/>
      </c>
      <c r="X59" s="15" t="str">
        <f t="shared" si="1"/>
        <v/>
      </c>
      <c r="Y59" s="16" t="str">
        <f t="shared" ca="1" si="2"/>
        <v/>
      </c>
    </row>
    <row r="60" spans="3:25" x14ac:dyDescent="0.25">
      <c r="C60" s="17"/>
      <c r="G60" s="17"/>
      <c r="J60" s="17"/>
      <c r="M60" s="17"/>
      <c r="O60" s="17"/>
      <c r="Q60" s="17"/>
      <c r="T60" s="17"/>
      <c r="W60" s="15" t="str">
        <f t="shared" si="0"/>
        <v/>
      </c>
      <c r="X60" s="15" t="str">
        <f t="shared" si="1"/>
        <v/>
      </c>
      <c r="Y60" s="16" t="str">
        <f t="shared" ca="1" si="2"/>
        <v/>
      </c>
    </row>
    <row r="61" spans="3:25" x14ac:dyDescent="0.25">
      <c r="C61" s="17"/>
      <c r="G61" s="17"/>
      <c r="J61" s="17"/>
      <c r="M61" s="17"/>
      <c r="O61" s="17"/>
      <c r="Q61" s="17"/>
      <c r="T61" s="17"/>
      <c r="W61" s="15" t="str">
        <f t="shared" si="0"/>
        <v/>
      </c>
      <c r="X61" s="15" t="str">
        <f t="shared" si="1"/>
        <v/>
      </c>
      <c r="Y61" s="16" t="str">
        <f t="shared" ca="1" si="2"/>
        <v/>
      </c>
    </row>
    <row r="62" spans="3:25" x14ac:dyDescent="0.25">
      <c r="C62" s="17"/>
      <c r="G62" s="17"/>
      <c r="J62" s="17"/>
      <c r="M62" s="17"/>
      <c r="O62" s="17"/>
      <c r="Q62" s="17"/>
      <c r="T62" s="17"/>
      <c r="W62" s="15" t="str">
        <f t="shared" si="0"/>
        <v/>
      </c>
      <c r="X62" s="15" t="str">
        <f t="shared" si="1"/>
        <v/>
      </c>
      <c r="Y62" s="16" t="str">
        <f t="shared" ca="1" si="2"/>
        <v/>
      </c>
    </row>
    <row r="63" spans="3:25" x14ac:dyDescent="0.25">
      <c r="C63" s="17"/>
      <c r="G63" s="17"/>
      <c r="J63" s="17"/>
      <c r="M63" s="17"/>
      <c r="O63" s="17"/>
      <c r="Q63" s="17"/>
      <c r="T63" s="17"/>
      <c r="W63" s="15" t="str">
        <f t="shared" si="0"/>
        <v/>
      </c>
      <c r="X63" s="15" t="str">
        <f t="shared" si="1"/>
        <v/>
      </c>
      <c r="Y63" s="16" t="str">
        <f t="shared" ca="1" si="2"/>
        <v/>
      </c>
    </row>
    <row r="64" spans="3:25" x14ac:dyDescent="0.25">
      <c r="C64" s="17"/>
      <c r="G64" s="17"/>
      <c r="J64" s="17"/>
      <c r="M64" s="17"/>
      <c r="O64" s="17"/>
      <c r="Q64" s="17"/>
      <c r="T64" s="17"/>
      <c r="W64" s="15" t="str">
        <f t="shared" si="0"/>
        <v/>
      </c>
      <c r="X64" s="15" t="str">
        <f t="shared" si="1"/>
        <v/>
      </c>
      <c r="Y64" s="16" t="str">
        <f t="shared" ca="1" si="2"/>
        <v/>
      </c>
    </row>
    <row r="65" spans="3:25" x14ac:dyDescent="0.25">
      <c r="C65" s="17"/>
      <c r="G65" s="17"/>
      <c r="J65" s="17"/>
      <c r="M65" s="17"/>
      <c r="O65" s="17"/>
      <c r="Q65" s="17"/>
      <c r="T65" s="17"/>
      <c r="W65" s="15" t="str">
        <f t="shared" si="0"/>
        <v/>
      </c>
      <c r="X65" s="15" t="str">
        <f t="shared" si="1"/>
        <v/>
      </c>
      <c r="Y65" s="16" t="str">
        <f t="shared" ca="1" si="2"/>
        <v/>
      </c>
    </row>
    <row r="66" spans="3:25" x14ac:dyDescent="0.25">
      <c r="C66" s="17"/>
      <c r="G66" s="17"/>
      <c r="J66" s="17"/>
      <c r="M66" s="17"/>
      <c r="O66" s="17"/>
      <c r="Q66" s="17"/>
      <c r="T66" s="17"/>
      <c r="W66" s="15" t="str">
        <f t="shared" ref="W66:W129" si="3">IF($A66="","",IF($U66="Accepted","Hired",IF($S66="Yes","Offer",IF(OR($R66="In Progress",$R66="Completed"),"Reference",IF(OR($P66="Yes",$O66&lt;&gt;""),"Assessment",IF(OR($M66&lt;&gt;"",$L66&lt;&gt;"",$K66&lt;&gt;""),"Partner",IF(OR($J66&lt;&gt;"",$I66&lt;&gt;"",$H66&lt;&gt;""),"First Round",IF($F66="Yes","Screened","Contacted"))))))))</f>
        <v/>
      </c>
      <c r="X66" s="15" t="str">
        <f t="shared" ref="X66:X129" si="4">IF($A66="","",IF(OR($U66="Accepted",$U66="Declined",$H66="Rejected",$K66="Rejected"),"Closed","Active"))</f>
        <v/>
      </c>
      <c r="Y66" s="16" t="str">
        <f t="shared" ref="Y66:Y129" ca="1" si="5">IF($C66="","",TODAY()-$C66)</f>
        <v/>
      </c>
    </row>
    <row r="67" spans="3:25" x14ac:dyDescent="0.25">
      <c r="C67" s="17"/>
      <c r="G67" s="17"/>
      <c r="J67" s="17"/>
      <c r="M67" s="17"/>
      <c r="O67" s="17"/>
      <c r="Q67" s="17"/>
      <c r="T67" s="17"/>
      <c r="W67" s="15" t="str">
        <f t="shared" si="3"/>
        <v/>
      </c>
      <c r="X67" s="15" t="str">
        <f t="shared" si="4"/>
        <v/>
      </c>
      <c r="Y67" s="16" t="str">
        <f t="shared" ca="1" si="5"/>
        <v/>
      </c>
    </row>
    <row r="68" spans="3:25" x14ac:dyDescent="0.25">
      <c r="C68" s="17"/>
      <c r="G68" s="17"/>
      <c r="J68" s="17"/>
      <c r="M68" s="17"/>
      <c r="O68" s="17"/>
      <c r="Q68" s="17"/>
      <c r="T68" s="17"/>
      <c r="W68" s="15" t="str">
        <f t="shared" si="3"/>
        <v/>
      </c>
      <c r="X68" s="15" t="str">
        <f t="shared" si="4"/>
        <v/>
      </c>
      <c r="Y68" s="16" t="str">
        <f t="shared" ca="1" si="5"/>
        <v/>
      </c>
    </row>
    <row r="69" spans="3:25" x14ac:dyDescent="0.25">
      <c r="C69" s="17"/>
      <c r="G69" s="17"/>
      <c r="J69" s="17"/>
      <c r="M69" s="17"/>
      <c r="O69" s="17"/>
      <c r="Q69" s="17"/>
      <c r="T69" s="17"/>
      <c r="W69" s="15" t="str">
        <f t="shared" si="3"/>
        <v/>
      </c>
      <c r="X69" s="15" t="str">
        <f t="shared" si="4"/>
        <v/>
      </c>
      <c r="Y69" s="16" t="str">
        <f t="shared" ca="1" si="5"/>
        <v/>
      </c>
    </row>
    <row r="70" spans="3:25" x14ac:dyDescent="0.25">
      <c r="C70" s="17"/>
      <c r="G70" s="17"/>
      <c r="J70" s="17"/>
      <c r="M70" s="17"/>
      <c r="O70" s="17"/>
      <c r="Q70" s="17"/>
      <c r="T70" s="17"/>
      <c r="W70" s="15" t="str">
        <f t="shared" si="3"/>
        <v/>
      </c>
      <c r="X70" s="15" t="str">
        <f t="shared" si="4"/>
        <v/>
      </c>
      <c r="Y70" s="16" t="str">
        <f t="shared" ca="1" si="5"/>
        <v/>
      </c>
    </row>
    <row r="71" spans="3:25" x14ac:dyDescent="0.25">
      <c r="C71" s="17"/>
      <c r="G71" s="17"/>
      <c r="J71" s="17"/>
      <c r="M71" s="17"/>
      <c r="O71" s="17"/>
      <c r="Q71" s="17"/>
      <c r="T71" s="17"/>
      <c r="W71" s="15" t="str">
        <f t="shared" si="3"/>
        <v/>
      </c>
      <c r="X71" s="15" t="str">
        <f t="shared" si="4"/>
        <v/>
      </c>
      <c r="Y71" s="16" t="str">
        <f t="shared" ca="1" si="5"/>
        <v/>
      </c>
    </row>
    <row r="72" spans="3:25" x14ac:dyDescent="0.25">
      <c r="C72" s="17"/>
      <c r="G72" s="17"/>
      <c r="J72" s="17"/>
      <c r="M72" s="17"/>
      <c r="O72" s="17"/>
      <c r="Q72" s="17"/>
      <c r="T72" s="17"/>
      <c r="W72" s="15" t="str">
        <f t="shared" si="3"/>
        <v/>
      </c>
      <c r="X72" s="15" t="str">
        <f t="shared" si="4"/>
        <v/>
      </c>
      <c r="Y72" s="16" t="str">
        <f t="shared" ca="1" si="5"/>
        <v/>
      </c>
    </row>
    <row r="73" spans="3:25" x14ac:dyDescent="0.25">
      <c r="C73" s="17"/>
      <c r="G73" s="17"/>
      <c r="J73" s="17"/>
      <c r="M73" s="17"/>
      <c r="O73" s="17"/>
      <c r="Q73" s="17"/>
      <c r="T73" s="17"/>
      <c r="W73" s="15" t="str">
        <f t="shared" si="3"/>
        <v/>
      </c>
      <c r="X73" s="15" t="str">
        <f t="shared" si="4"/>
        <v/>
      </c>
      <c r="Y73" s="16" t="str">
        <f t="shared" ca="1" si="5"/>
        <v/>
      </c>
    </row>
    <row r="74" spans="3:25" x14ac:dyDescent="0.25">
      <c r="C74" s="17"/>
      <c r="G74" s="17"/>
      <c r="J74" s="17"/>
      <c r="M74" s="17"/>
      <c r="O74" s="17"/>
      <c r="Q74" s="17"/>
      <c r="T74" s="17"/>
      <c r="W74" s="15" t="str">
        <f t="shared" si="3"/>
        <v/>
      </c>
      <c r="X74" s="15" t="str">
        <f t="shared" si="4"/>
        <v/>
      </c>
      <c r="Y74" s="16" t="str">
        <f t="shared" ca="1" si="5"/>
        <v/>
      </c>
    </row>
    <row r="75" spans="3:25" x14ac:dyDescent="0.25">
      <c r="C75" s="17"/>
      <c r="G75" s="17"/>
      <c r="J75" s="17"/>
      <c r="M75" s="17"/>
      <c r="O75" s="17"/>
      <c r="Q75" s="17"/>
      <c r="T75" s="17"/>
      <c r="W75" s="15" t="str">
        <f t="shared" si="3"/>
        <v/>
      </c>
      <c r="X75" s="15" t="str">
        <f t="shared" si="4"/>
        <v/>
      </c>
      <c r="Y75" s="16" t="str">
        <f t="shared" ca="1" si="5"/>
        <v/>
      </c>
    </row>
    <row r="76" spans="3:25" x14ac:dyDescent="0.25">
      <c r="C76" s="17"/>
      <c r="G76" s="17"/>
      <c r="J76" s="17"/>
      <c r="M76" s="17"/>
      <c r="O76" s="17"/>
      <c r="Q76" s="17"/>
      <c r="T76" s="17"/>
      <c r="W76" s="15" t="str">
        <f t="shared" si="3"/>
        <v/>
      </c>
      <c r="X76" s="15" t="str">
        <f t="shared" si="4"/>
        <v/>
      </c>
      <c r="Y76" s="16" t="str">
        <f t="shared" ca="1" si="5"/>
        <v/>
      </c>
    </row>
    <row r="77" spans="3:25" x14ac:dyDescent="0.25">
      <c r="C77" s="17"/>
      <c r="G77" s="17"/>
      <c r="J77" s="17"/>
      <c r="M77" s="17"/>
      <c r="O77" s="17"/>
      <c r="Q77" s="17"/>
      <c r="T77" s="17"/>
      <c r="W77" s="15" t="str">
        <f t="shared" si="3"/>
        <v/>
      </c>
      <c r="X77" s="15" t="str">
        <f t="shared" si="4"/>
        <v/>
      </c>
      <c r="Y77" s="16" t="str">
        <f t="shared" ca="1" si="5"/>
        <v/>
      </c>
    </row>
    <row r="78" spans="3:25" x14ac:dyDescent="0.25">
      <c r="C78" s="17"/>
      <c r="G78" s="17"/>
      <c r="J78" s="17"/>
      <c r="M78" s="17"/>
      <c r="O78" s="17"/>
      <c r="Q78" s="17"/>
      <c r="T78" s="17"/>
      <c r="W78" s="15" t="str">
        <f t="shared" si="3"/>
        <v/>
      </c>
      <c r="X78" s="15" t="str">
        <f t="shared" si="4"/>
        <v/>
      </c>
      <c r="Y78" s="16" t="str">
        <f t="shared" ca="1" si="5"/>
        <v/>
      </c>
    </row>
    <row r="79" spans="3:25" x14ac:dyDescent="0.25">
      <c r="C79" s="17"/>
      <c r="G79" s="17"/>
      <c r="J79" s="17"/>
      <c r="M79" s="17"/>
      <c r="O79" s="17"/>
      <c r="Q79" s="17"/>
      <c r="T79" s="17"/>
      <c r="W79" s="15" t="str">
        <f t="shared" si="3"/>
        <v/>
      </c>
      <c r="X79" s="15" t="str">
        <f t="shared" si="4"/>
        <v/>
      </c>
      <c r="Y79" s="16" t="str">
        <f t="shared" ca="1" si="5"/>
        <v/>
      </c>
    </row>
    <row r="80" spans="3:25" x14ac:dyDescent="0.25">
      <c r="C80" s="17"/>
      <c r="G80" s="17"/>
      <c r="J80" s="17"/>
      <c r="M80" s="17"/>
      <c r="O80" s="17"/>
      <c r="Q80" s="17"/>
      <c r="T80" s="17"/>
      <c r="W80" s="15" t="str">
        <f t="shared" si="3"/>
        <v/>
      </c>
      <c r="X80" s="15" t="str">
        <f t="shared" si="4"/>
        <v/>
      </c>
      <c r="Y80" s="16" t="str">
        <f t="shared" ca="1" si="5"/>
        <v/>
      </c>
    </row>
    <row r="81" spans="3:25" x14ac:dyDescent="0.25">
      <c r="C81" s="17"/>
      <c r="G81" s="17"/>
      <c r="J81" s="17"/>
      <c r="M81" s="17"/>
      <c r="O81" s="17"/>
      <c r="Q81" s="17"/>
      <c r="T81" s="17"/>
      <c r="W81" s="15" t="str">
        <f t="shared" si="3"/>
        <v/>
      </c>
      <c r="X81" s="15" t="str">
        <f t="shared" si="4"/>
        <v/>
      </c>
      <c r="Y81" s="16" t="str">
        <f t="shared" ca="1" si="5"/>
        <v/>
      </c>
    </row>
    <row r="82" spans="3:25" x14ac:dyDescent="0.25">
      <c r="C82" s="17"/>
      <c r="G82" s="17"/>
      <c r="J82" s="17"/>
      <c r="M82" s="17"/>
      <c r="O82" s="17"/>
      <c r="Q82" s="17"/>
      <c r="T82" s="17"/>
      <c r="W82" s="15" t="str">
        <f t="shared" si="3"/>
        <v/>
      </c>
      <c r="X82" s="15" t="str">
        <f t="shared" si="4"/>
        <v/>
      </c>
      <c r="Y82" s="16" t="str">
        <f t="shared" ca="1" si="5"/>
        <v/>
      </c>
    </row>
    <row r="83" spans="3:25" x14ac:dyDescent="0.25">
      <c r="C83" s="17"/>
      <c r="G83" s="17"/>
      <c r="J83" s="17"/>
      <c r="M83" s="17"/>
      <c r="O83" s="17"/>
      <c r="Q83" s="17"/>
      <c r="T83" s="17"/>
      <c r="W83" s="15" t="str">
        <f t="shared" si="3"/>
        <v/>
      </c>
      <c r="X83" s="15" t="str">
        <f t="shared" si="4"/>
        <v/>
      </c>
      <c r="Y83" s="16" t="str">
        <f t="shared" ca="1" si="5"/>
        <v/>
      </c>
    </row>
    <row r="84" spans="3:25" x14ac:dyDescent="0.25">
      <c r="C84" s="17"/>
      <c r="G84" s="17"/>
      <c r="J84" s="17"/>
      <c r="M84" s="17"/>
      <c r="O84" s="17"/>
      <c r="Q84" s="17"/>
      <c r="T84" s="17"/>
      <c r="W84" s="15" t="str">
        <f t="shared" si="3"/>
        <v/>
      </c>
      <c r="X84" s="15" t="str">
        <f t="shared" si="4"/>
        <v/>
      </c>
      <c r="Y84" s="16" t="str">
        <f t="shared" ca="1" si="5"/>
        <v/>
      </c>
    </row>
    <row r="85" spans="3:25" x14ac:dyDescent="0.25">
      <c r="C85" s="17"/>
      <c r="G85" s="17"/>
      <c r="J85" s="17"/>
      <c r="M85" s="17"/>
      <c r="O85" s="17"/>
      <c r="Q85" s="17"/>
      <c r="T85" s="17"/>
      <c r="W85" s="15" t="str">
        <f t="shared" si="3"/>
        <v/>
      </c>
      <c r="X85" s="15" t="str">
        <f t="shared" si="4"/>
        <v/>
      </c>
      <c r="Y85" s="16" t="str">
        <f t="shared" ca="1" si="5"/>
        <v/>
      </c>
    </row>
    <row r="86" spans="3:25" x14ac:dyDescent="0.25">
      <c r="C86" s="17"/>
      <c r="G86" s="17"/>
      <c r="J86" s="17"/>
      <c r="M86" s="17"/>
      <c r="O86" s="17"/>
      <c r="Q86" s="17"/>
      <c r="T86" s="17"/>
      <c r="W86" s="15" t="str">
        <f t="shared" si="3"/>
        <v/>
      </c>
      <c r="X86" s="15" t="str">
        <f t="shared" si="4"/>
        <v/>
      </c>
      <c r="Y86" s="16" t="str">
        <f t="shared" ca="1" si="5"/>
        <v/>
      </c>
    </row>
    <row r="87" spans="3:25" x14ac:dyDescent="0.25">
      <c r="C87" s="17"/>
      <c r="G87" s="17"/>
      <c r="J87" s="17"/>
      <c r="M87" s="17"/>
      <c r="O87" s="17"/>
      <c r="Q87" s="17"/>
      <c r="T87" s="17"/>
      <c r="W87" s="15" t="str">
        <f t="shared" si="3"/>
        <v/>
      </c>
      <c r="X87" s="15" t="str">
        <f t="shared" si="4"/>
        <v/>
      </c>
      <c r="Y87" s="16" t="str">
        <f t="shared" ca="1" si="5"/>
        <v/>
      </c>
    </row>
    <row r="88" spans="3:25" x14ac:dyDescent="0.25">
      <c r="C88" s="17"/>
      <c r="G88" s="17"/>
      <c r="J88" s="17"/>
      <c r="M88" s="17"/>
      <c r="O88" s="17"/>
      <c r="Q88" s="17"/>
      <c r="T88" s="17"/>
      <c r="W88" s="15" t="str">
        <f t="shared" si="3"/>
        <v/>
      </c>
      <c r="X88" s="15" t="str">
        <f t="shared" si="4"/>
        <v/>
      </c>
      <c r="Y88" s="16" t="str">
        <f t="shared" ca="1" si="5"/>
        <v/>
      </c>
    </row>
    <row r="89" spans="3:25" x14ac:dyDescent="0.25">
      <c r="C89" s="17"/>
      <c r="G89" s="17"/>
      <c r="J89" s="17"/>
      <c r="M89" s="17"/>
      <c r="O89" s="17"/>
      <c r="Q89" s="17"/>
      <c r="T89" s="17"/>
      <c r="W89" s="15" t="str">
        <f t="shared" si="3"/>
        <v/>
      </c>
      <c r="X89" s="15" t="str">
        <f t="shared" si="4"/>
        <v/>
      </c>
      <c r="Y89" s="16" t="str">
        <f t="shared" ca="1" si="5"/>
        <v/>
      </c>
    </row>
    <row r="90" spans="3:25" x14ac:dyDescent="0.25">
      <c r="C90" s="17"/>
      <c r="G90" s="17"/>
      <c r="J90" s="17"/>
      <c r="M90" s="17"/>
      <c r="O90" s="17"/>
      <c r="Q90" s="17"/>
      <c r="T90" s="17"/>
      <c r="W90" s="15" t="str">
        <f t="shared" si="3"/>
        <v/>
      </c>
      <c r="X90" s="15" t="str">
        <f t="shared" si="4"/>
        <v/>
      </c>
      <c r="Y90" s="16" t="str">
        <f t="shared" ca="1" si="5"/>
        <v/>
      </c>
    </row>
    <row r="91" spans="3:25" x14ac:dyDescent="0.25">
      <c r="C91" s="17"/>
      <c r="G91" s="17"/>
      <c r="J91" s="17"/>
      <c r="M91" s="17"/>
      <c r="O91" s="17"/>
      <c r="Q91" s="17"/>
      <c r="T91" s="17"/>
      <c r="W91" s="15" t="str">
        <f t="shared" si="3"/>
        <v/>
      </c>
      <c r="X91" s="15" t="str">
        <f t="shared" si="4"/>
        <v/>
      </c>
      <c r="Y91" s="16" t="str">
        <f t="shared" ca="1" si="5"/>
        <v/>
      </c>
    </row>
    <row r="92" spans="3:25" x14ac:dyDescent="0.25">
      <c r="C92" s="17"/>
      <c r="G92" s="17"/>
      <c r="J92" s="17"/>
      <c r="M92" s="17"/>
      <c r="O92" s="17"/>
      <c r="Q92" s="17"/>
      <c r="T92" s="17"/>
      <c r="W92" s="15" t="str">
        <f t="shared" si="3"/>
        <v/>
      </c>
      <c r="X92" s="15" t="str">
        <f t="shared" si="4"/>
        <v/>
      </c>
      <c r="Y92" s="16" t="str">
        <f t="shared" ca="1" si="5"/>
        <v/>
      </c>
    </row>
    <row r="93" spans="3:25" x14ac:dyDescent="0.25">
      <c r="C93" s="17"/>
      <c r="G93" s="17"/>
      <c r="J93" s="17"/>
      <c r="M93" s="17"/>
      <c r="O93" s="17"/>
      <c r="Q93" s="17"/>
      <c r="T93" s="17"/>
      <c r="W93" s="15" t="str">
        <f t="shared" si="3"/>
        <v/>
      </c>
      <c r="X93" s="15" t="str">
        <f t="shared" si="4"/>
        <v/>
      </c>
      <c r="Y93" s="16" t="str">
        <f t="shared" ca="1" si="5"/>
        <v/>
      </c>
    </row>
    <row r="94" spans="3:25" x14ac:dyDescent="0.25">
      <c r="C94" s="17"/>
      <c r="G94" s="17"/>
      <c r="J94" s="17"/>
      <c r="M94" s="17"/>
      <c r="O94" s="17"/>
      <c r="Q94" s="17"/>
      <c r="T94" s="17"/>
      <c r="W94" s="15" t="str">
        <f t="shared" si="3"/>
        <v/>
      </c>
      <c r="X94" s="15" t="str">
        <f t="shared" si="4"/>
        <v/>
      </c>
      <c r="Y94" s="16" t="str">
        <f t="shared" ca="1" si="5"/>
        <v/>
      </c>
    </row>
    <row r="95" spans="3:25" x14ac:dyDescent="0.25">
      <c r="C95" s="17"/>
      <c r="G95" s="17"/>
      <c r="J95" s="17"/>
      <c r="M95" s="17"/>
      <c r="O95" s="17"/>
      <c r="Q95" s="17"/>
      <c r="T95" s="17"/>
      <c r="W95" s="15" t="str">
        <f t="shared" si="3"/>
        <v/>
      </c>
      <c r="X95" s="15" t="str">
        <f t="shared" si="4"/>
        <v/>
      </c>
      <c r="Y95" s="16" t="str">
        <f t="shared" ca="1" si="5"/>
        <v/>
      </c>
    </row>
    <row r="96" spans="3:25" x14ac:dyDescent="0.25">
      <c r="C96" s="17"/>
      <c r="G96" s="17"/>
      <c r="J96" s="17"/>
      <c r="M96" s="17"/>
      <c r="O96" s="17"/>
      <c r="Q96" s="17"/>
      <c r="T96" s="17"/>
      <c r="W96" s="15" t="str">
        <f t="shared" si="3"/>
        <v/>
      </c>
      <c r="X96" s="15" t="str">
        <f t="shared" si="4"/>
        <v/>
      </c>
      <c r="Y96" s="16" t="str">
        <f t="shared" ca="1" si="5"/>
        <v/>
      </c>
    </row>
    <row r="97" spans="3:25" x14ac:dyDescent="0.25">
      <c r="C97" s="17"/>
      <c r="G97" s="17"/>
      <c r="J97" s="17"/>
      <c r="M97" s="17"/>
      <c r="O97" s="17"/>
      <c r="Q97" s="17"/>
      <c r="T97" s="17"/>
      <c r="W97" s="15" t="str">
        <f t="shared" si="3"/>
        <v/>
      </c>
      <c r="X97" s="15" t="str">
        <f t="shared" si="4"/>
        <v/>
      </c>
      <c r="Y97" s="16" t="str">
        <f t="shared" ca="1" si="5"/>
        <v/>
      </c>
    </row>
    <row r="98" spans="3:25" x14ac:dyDescent="0.25">
      <c r="C98" s="17"/>
      <c r="G98" s="17"/>
      <c r="J98" s="17"/>
      <c r="M98" s="17"/>
      <c r="O98" s="17"/>
      <c r="Q98" s="17"/>
      <c r="T98" s="17"/>
      <c r="W98" s="15" t="str">
        <f t="shared" si="3"/>
        <v/>
      </c>
      <c r="X98" s="15" t="str">
        <f t="shared" si="4"/>
        <v/>
      </c>
      <c r="Y98" s="16" t="str">
        <f t="shared" ca="1" si="5"/>
        <v/>
      </c>
    </row>
    <row r="99" spans="3:25" x14ac:dyDescent="0.25">
      <c r="C99" s="17"/>
      <c r="G99" s="17"/>
      <c r="J99" s="17"/>
      <c r="M99" s="17"/>
      <c r="O99" s="17"/>
      <c r="Q99" s="17"/>
      <c r="T99" s="17"/>
      <c r="W99" s="15" t="str">
        <f t="shared" si="3"/>
        <v/>
      </c>
      <c r="X99" s="15" t="str">
        <f t="shared" si="4"/>
        <v/>
      </c>
      <c r="Y99" s="16" t="str">
        <f t="shared" ca="1" si="5"/>
        <v/>
      </c>
    </row>
    <row r="100" spans="3:25" x14ac:dyDescent="0.25">
      <c r="C100" s="17"/>
      <c r="G100" s="17"/>
      <c r="J100" s="17"/>
      <c r="M100" s="17"/>
      <c r="O100" s="17"/>
      <c r="Q100" s="17"/>
      <c r="T100" s="17"/>
      <c r="W100" s="15" t="str">
        <f t="shared" si="3"/>
        <v/>
      </c>
      <c r="X100" s="15" t="str">
        <f t="shared" si="4"/>
        <v/>
      </c>
      <c r="Y100" s="16" t="str">
        <f t="shared" ca="1" si="5"/>
        <v/>
      </c>
    </row>
    <row r="101" spans="3:25" x14ac:dyDescent="0.25">
      <c r="C101" s="17"/>
      <c r="G101" s="17"/>
      <c r="J101" s="17"/>
      <c r="M101" s="17"/>
      <c r="O101" s="17"/>
      <c r="Q101" s="17"/>
      <c r="T101" s="17"/>
      <c r="W101" s="15" t="str">
        <f t="shared" si="3"/>
        <v/>
      </c>
      <c r="X101" s="15" t="str">
        <f t="shared" si="4"/>
        <v/>
      </c>
      <c r="Y101" s="16" t="str">
        <f t="shared" ca="1" si="5"/>
        <v/>
      </c>
    </row>
    <row r="102" spans="3:25" x14ac:dyDescent="0.25">
      <c r="C102" s="17"/>
      <c r="G102" s="17"/>
      <c r="J102" s="17"/>
      <c r="M102" s="17"/>
      <c r="O102" s="17"/>
      <c r="Q102" s="17"/>
      <c r="T102" s="17"/>
      <c r="W102" s="15" t="str">
        <f t="shared" si="3"/>
        <v/>
      </c>
      <c r="X102" s="15" t="str">
        <f t="shared" si="4"/>
        <v/>
      </c>
      <c r="Y102" s="16" t="str">
        <f t="shared" ca="1" si="5"/>
        <v/>
      </c>
    </row>
    <row r="103" spans="3:25" x14ac:dyDescent="0.25">
      <c r="C103" s="17"/>
      <c r="G103" s="17"/>
      <c r="J103" s="17"/>
      <c r="M103" s="17"/>
      <c r="O103" s="17"/>
      <c r="Q103" s="17"/>
      <c r="T103" s="17"/>
      <c r="W103" s="15" t="str">
        <f t="shared" si="3"/>
        <v/>
      </c>
      <c r="X103" s="15" t="str">
        <f t="shared" si="4"/>
        <v/>
      </c>
      <c r="Y103" s="16" t="str">
        <f t="shared" ca="1" si="5"/>
        <v/>
      </c>
    </row>
    <row r="104" spans="3:25" x14ac:dyDescent="0.25">
      <c r="C104" s="17"/>
      <c r="G104" s="17"/>
      <c r="J104" s="17"/>
      <c r="M104" s="17"/>
      <c r="O104" s="17"/>
      <c r="Q104" s="17"/>
      <c r="T104" s="17"/>
      <c r="W104" s="15" t="str">
        <f t="shared" si="3"/>
        <v/>
      </c>
      <c r="X104" s="15" t="str">
        <f t="shared" si="4"/>
        <v/>
      </c>
      <c r="Y104" s="16" t="str">
        <f t="shared" ca="1" si="5"/>
        <v/>
      </c>
    </row>
    <row r="105" spans="3:25" x14ac:dyDescent="0.25">
      <c r="C105" s="17"/>
      <c r="G105" s="17"/>
      <c r="J105" s="17"/>
      <c r="M105" s="17"/>
      <c r="O105" s="17"/>
      <c r="Q105" s="17"/>
      <c r="T105" s="17"/>
      <c r="W105" s="15" t="str">
        <f t="shared" si="3"/>
        <v/>
      </c>
      <c r="X105" s="15" t="str">
        <f t="shared" si="4"/>
        <v/>
      </c>
      <c r="Y105" s="16" t="str">
        <f t="shared" ca="1" si="5"/>
        <v/>
      </c>
    </row>
    <row r="106" spans="3:25" x14ac:dyDescent="0.25">
      <c r="C106" s="17"/>
      <c r="G106" s="17"/>
      <c r="J106" s="17"/>
      <c r="M106" s="17"/>
      <c r="O106" s="17"/>
      <c r="Q106" s="17"/>
      <c r="T106" s="17"/>
      <c r="W106" s="15" t="str">
        <f t="shared" si="3"/>
        <v/>
      </c>
      <c r="X106" s="15" t="str">
        <f t="shared" si="4"/>
        <v/>
      </c>
      <c r="Y106" s="16" t="str">
        <f t="shared" ca="1" si="5"/>
        <v/>
      </c>
    </row>
    <row r="107" spans="3:25" x14ac:dyDescent="0.25">
      <c r="C107" s="17"/>
      <c r="G107" s="17"/>
      <c r="J107" s="17"/>
      <c r="M107" s="17"/>
      <c r="O107" s="17"/>
      <c r="Q107" s="17"/>
      <c r="T107" s="17"/>
      <c r="W107" s="15" t="str">
        <f t="shared" si="3"/>
        <v/>
      </c>
      <c r="X107" s="15" t="str">
        <f t="shared" si="4"/>
        <v/>
      </c>
      <c r="Y107" s="16" t="str">
        <f t="shared" ca="1" si="5"/>
        <v/>
      </c>
    </row>
    <row r="108" spans="3:25" x14ac:dyDescent="0.25">
      <c r="C108" s="17"/>
      <c r="G108" s="17"/>
      <c r="J108" s="17"/>
      <c r="M108" s="17"/>
      <c r="O108" s="17"/>
      <c r="Q108" s="17"/>
      <c r="T108" s="17"/>
      <c r="W108" s="15" t="str">
        <f t="shared" si="3"/>
        <v/>
      </c>
      <c r="X108" s="15" t="str">
        <f t="shared" si="4"/>
        <v/>
      </c>
      <c r="Y108" s="16" t="str">
        <f t="shared" ca="1" si="5"/>
        <v/>
      </c>
    </row>
    <row r="109" spans="3:25" x14ac:dyDescent="0.25">
      <c r="C109" s="17"/>
      <c r="G109" s="17"/>
      <c r="J109" s="17"/>
      <c r="M109" s="17"/>
      <c r="O109" s="17"/>
      <c r="Q109" s="17"/>
      <c r="T109" s="17"/>
      <c r="W109" s="15" t="str">
        <f t="shared" si="3"/>
        <v/>
      </c>
      <c r="X109" s="15" t="str">
        <f t="shared" si="4"/>
        <v/>
      </c>
      <c r="Y109" s="16" t="str">
        <f t="shared" ca="1" si="5"/>
        <v/>
      </c>
    </row>
    <row r="110" spans="3:25" x14ac:dyDescent="0.25">
      <c r="C110" s="17"/>
      <c r="G110" s="17"/>
      <c r="J110" s="17"/>
      <c r="M110" s="17"/>
      <c r="O110" s="17"/>
      <c r="Q110" s="17"/>
      <c r="T110" s="17"/>
      <c r="W110" s="15" t="str">
        <f t="shared" si="3"/>
        <v/>
      </c>
      <c r="X110" s="15" t="str">
        <f t="shared" si="4"/>
        <v/>
      </c>
      <c r="Y110" s="16" t="str">
        <f t="shared" ca="1" si="5"/>
        <v/>
      </c>
    </row>
    <row r="111" spans="3:25" x14ac:dyDescent="0.25">
      <c r="C111" s="17"/>
      <c r="G111" s="17"/>
      <c r="J111" s="17"/>
      <c r="M111" s="17"/>
      <c r="O111" s="17"/>
      <c r="Q111" s="17"/>
      <c r="T111" s="17"/>
      <c r="W111" s="15" t="str">
        <f t="shared" si="3"/>
        <v/>
      </c>
      <c r="X111" s="15" t="str">
        <f t="shared" si="4"/>
        <v/>
      </c>
      <c r="Y111" s="16" t="str">
        <f t="shared" ca="1" si="5"/>
        <v/>
      </c>
    </row>
    <row r="112" spans="3:25" x14ac:dyDescent="0.25">
      <c r="C112" s="17"/>
      <c r="G112" s="17"/>
      <c r="J112" s="17"/>
      <c r="M112" s="17"/>
      <c r="O112" s="17"/>
      <c r="Q112" s="17"/>
      <c r="T112" s="17"/>
      <c r="W112" s="15" t="str">
        <f t="shared" si="3"/>
        <v/>
      </c>
      <c r="X112" s="15" t="str">
        <f t="shared" si="4"/>
        <v/>
      </c>
      <c r="Y112" s="16" t="str">
        <f t="shared" ca="1" si="5"/>
        <v/>
      </c>
    </row>
    <row r="113" spans="3:25" x14ac:dyDescent="0.25">
      <c r="C113" s="17"/>
      <c r="G113" s="17"/>
      <c r="J113" s="17"/>
      <c r="M113" s="17"/>
      <c r="O113" s="17"/>
      <c r="Q113" s="17"/>
      <c r="T113" s="17"/>
      <c r="W113" s="15" t="str">
        <f t="shared" si="3"/>
        <v/>
      </c>
      <c r="X113" s="15" t="str">
        <f t="shared" si="4"/>
        <v/>
      </c>
      <c r="Y113" s="16" t="str">
        <f t="shared" ca="1" si="5"/>
        <v/>
      </c>
    </row>
    <row r="114" spans="3:25" x14ac:dyDescent="0.25">
      <c r="C114" s="17"/>
      <c r="G114" s="17"/>
      <c r="J114" s="17"/>
      <c r="M114" s="17"/>
      <c r="O114" s="17"/>
      <c r="Q114" s="17"/>
      <c r="T114" s="17"/>
      <c r="W114" s="15" t="str">
        <f t="shared" si="3"/>
        <v/>
      </c>
      <c r="X114" s="15" t="str">
        <f t="shared" si="4"/>
        <v/>
      </c>
      <c r="Y114" s="16" t="str">
        <f t="shared" ca="1" si="5"/>
        <v/>
      </c>
    </row>
    <row r="115" spans="3:25" x14ac:dyDescent="0.25">
      <c r="C115" s="17"/>
      <c r="G115" s="17"/>
      <c r="J115" s="17"/>
      <c r="M115" s="17"/>
      <c r="O115" s="17"/>
      <c r="Q115" s="17"/>
      <c r="T115" s="17"/>
      <c r="W115" s="15" t="str">
        <f t="shared" si="3"/>
        <v/>
      </c>
      <c r="X115" s="15" t="str">
        <f t="shared" si="4"/>
        <v/>
      </c>
      <c r="Y115" s="16" t="str">
        <f t="shared" ca="1" si="5"/>
        <v/>
      </c>
    </row>
    <row r="116" spans="3:25" x14ac:dyDescent="0.25">
      <c r="C116" s="17"/>
      <c r="G116" s="17"/>
      <c r="J116" s="17"/>
      <c r="M116" s="17"/>
      <c r="O116" s="17"/>
      <c r="Q116" s="17"/>
      <c r="T116" s="17"/>
      <c r="W116" s="15" t="str">
        <f t="shared" si="3"/>
        <v/>
      </c>
      <c r="X116" s="15" t="str">
        <f t="shared" si="4"/>
        <v/>
      </c>
      <c r="Y116" s="16" t="str">
        <f t="shared" ca="1" si="5"/>
        <v/>
      </c>
    </row>
    <row r="117" spans="3:25" x14ac:dyDescent="0.25">
      <c r="C117" s="17"/>
      <c r="G117" s="17"/>
      <c r="J117" s="17"/>
      <c r="M117" s="17"/>
      <c r="O117" s="17"/>
      <c r="Q117" s="17"/>
      <c r="T117" s="17"/>
      <c r="W117" s="15" t="str">
        <f t="shared" si="3"/>
        <v/>
      </c>
      <c r="X117" s="15" t="str">
        <f t="shared" si="4"/>
        <v/>
      </c>
      <c r="Y117" s="16" t="str">
        <f t="shared" ca="1" si="5"/>
        <v/>
      </c>
    </row>
    <row r="118" spans="3:25" x14ac:dyDescent="0.25">
      <c r="C118" s="17"/>
      <c r="G118" s="17"/>
      <c r="J118" s="17"/>
      <c r="M118" s="17"/>
      <c r="O118" s="17"/>
      <c r="Q118" s="17"/>
      <c r="T118" s="17"/>
      <c r="W118" s="15" t="str">
        <f t="shared" si="3"/>
        <v/>
      </c>
      <c r="X118" s="15" t="str">
        <f t="shared" si="4"/>
        <v/>
      </c>
      <c r="Y118" s="16" t="str">
        <f t="shared" ca="1" si="5"/>
        <v/>
      </c>
    </row>
    <row r="119" spans="3:25" x14ac:dyDescent="0.25">
      <c r="C119" s="17"/>
      <c r="G119" s="17"/>
      <c r="J119" s="17"/>
      <c r="M119" s="17"/>
      <c r="O119" s="17"/>
      <c r="Q119" s="17"/>
      <c r="T119" s="17"/>
      <c r="W119" s="15" t="str">
        <f t="shared" si="3"/>
        <v/>
      </c>
      <c r="X119" s="15" t="str">
        <f t="shared" si="4"/>
        <v/>
      </c>
      <c r="Y119" s="16" t="str">
        <f t="shared" ca="1" si="5"/>
        <v/>
      </c>
    </row>
    <row r="120" spans="3:25" x14ac:dyDescent="0.25">
      <c r="C120" s="17"/>
      <c r="G120" s="17"/>
      <c r="J120" s="17"/>
      <c r="M120" s="17"/>
      <c r="O120" s="17"/>
      <c r="Q120" s="17"/>
      <c r="T120" s="17"/>
      <c r="W120" s="15" t="str">
        <f t="shared" si="3"/>
        <v/>
      </c>
      <c r="X120" s="15" t="str">
        <f t="shared" si="4"/>
        <v/>
      </c>
      <c r="Y120" s="16" t="str">
        <f t="shared" ca="1" si="5"/>
        <v/>
      </c>
    </row>
    <row r="121" spans="3:25" x14ac:dyDescent="0.25">
      <c r="C121" s="17"/>
      <c r="G121" s="17"/>
      <c r="J121" s="17"/>
      <c r="M121" s="17"/>
      <c r="O121" s="17"/>
      <c r="Q121" s="17"/>
      <c r="T121" s="17"/>
      <c r="W121" s="15" t="str">
        <f t="shared" si="3"/>
        <v/>
      </c>
      <c r="X121" s="15" t="str">
        <f t="shared" si="4"/>
        <v/>
      </c>
      <c r="Y121" s="16" t="str">
        <f t="shared" ca="1" si="5"/>
        <v/>
      </c>
    </row>
    <row r="122" spans="3:25" x14ac:dyDescent="0.25">
      <c r="C122" s="17"/>
      <c r="G122" s="17"/>
      <c r="J122" s="17"/>
      <c r="M122" s="17"/>
      <c r="O122" s="17"/>
      <c r="Q122" s="17"/>
      <c r="T122" s="17"/>
      <c r="W122" s="15" t="str">
        <f t="shared" si="3"/>
        <v/>
      </c>
      <c r="X122" s="15" t="str">
        <f t="shared" si="4"/>
        <v/>
      </c>
      <c r="Y122" s="16" t="str">
        <f t="shared" ca="1" si="5"/>
        <v/>
      </c>
    </row>
    <row r="123" spans="3:25" x14ac:dyDescent="0.25">
      <c r="C123" s="17"/>
      <c r="G123" s="17"/>
      <c r="J123" s="17"/>
      <c r="M123" s="17"/>
      <c r="O123" s="17"/>
      <c r="Q123" s="17"/>
      <c r="T123" s="17"/>
      <c r="W123" s="15" t="str">
        <f t="shared" si="3"/>
        <v/>
      </c>
      <c r="X123" s="15" t="str">
        <f t="shared" si="4"/>
        <v/>
      </c>
      <c r="Y123" s="16" t="str">
        <f t="shared" ca="1" si="5"/>
        <v/>
      </c>
    </row>
    <row r="124" spans="3:25" x14ac:dyDescent="0.25">
      <c r="C124" s="17"/>
      <c r="G124" s="17"/>
      <c r="J124" s="17"/>
      <c r="M124" s="17"/>
      <c r="O124" s="17"/>
      <c r="Q124" s="17"/>
      <c r="T124" s="17"/>
      <c r="W124" s="15" t="str">
        <f t="shared" si="3"/>
        <v/>
      </c>
      <c r="X124" s="15" t="str">
        <f t="shared" si="4"/>
        <v/>
      </c>
      <c r="Y124" s="16" t="str">
        <f t="shared" ca="1" si="5"/>
        <v/>
      </c>
    </row>
    <row r="125" spans="3:25" x14ac:dyDescent="0.25">
      <c r="C125" s="17"/>
      <c r="G125" s="17"/>
      <c r="J125" s="17"/>
      <c r="M125" s="17"/>
      <c r="O125" s="17"/>
      <c r="Q125" s="17"/>
      <c r="T125" s="17"/>
      <c r="W125" s="15" t="str">
        <f t="shared" si="3"/>
        <v/>
      </c>
      <c r="X125" s="15" t="str">
        <f t="shared" si="4"/>
        <v/>
      </c>
      <c r="Y125" s="16" t="str">
        <f t="shared" ca="1" si="5"/>
        <v/>
      </c>
    </row>
    <row r="126" spans="3:25" x14ac:dyDescent="0.25">
      <c r="C126" s="17"/>
      <c r="G126" s="17"/>
      <c r="J126" s="17"/>
      <c r="M126" s="17"/>
      <c r="O126" s="17"/>
      <c r="Q126" s="17"/>
      <c r="T126" s="17"/>
      <c r="W126" s="15" t="str">
        <f t="shared" si="3"/>
        <v/>
      </c>
      <c r="X126" s="15" t="str">
        <f t="shared" si="4"/>
        <v/>
      </c>
      <c r="Y126" s="16" t="str">
        <f t="shared" ca="1" si="5"/>
        <v/>
      </c>
    </row>
    <row r="127" spans="3:25" x14ac:dyDescent="0.25">
      <c r="C127" s="17"/>
      <c r="G127" s="17"/>
      <c r="J127" s="17"/>
      <c r="M127" s="17"/>
      <c r="O127" s="17"/>
      <c r="Q127" s="17"/>
      <c r="T127" s="17"/>
      <c r="W127" s="15" t="str">
        <f t="shared" si="3"/>
        <v/>
      </c>
      <c r="X127" s="15" t="str">
        <f t="shared" si="4"/>
        <v/>
      </c>
      <c r="Y127" s="16" t="str">
        <f t="shared" ca="1" si="5"/>
        <v/>
      </c>
    </row>
    <row r="128" spans="3:25" x14ac:dyDescent="0.25">
      <c r="C128" s="17"/>
      <c r="G128" s="17"/>
      <c r="J128" s="17"/>
      <c r="M128" s="17"/>
      <c r="O128" s="17"/>
      <c r="Q128" s="17"/>
      <c r="T128" s="17"/>
      <c r="W128" s="15" t="str">
        <f t="shared" si="3"/>
        <v/>
      </c>
      <c r="X128" s="15" t="str">
        <f t="shared" si="4"/>
        <v/>
      </c>
      <c r="Y128" s="16" t="str">
        <f t="shared" ca="1" si="5"/>
        <v/>
      </c>
    </row>
    <row r="129" spans="3:25" x14ac:dyDescent="0.25">
      <c r="C129" s="17"/>
      <c r="G129" s="17"/>
      <c r="J129" s="17"/>
      <c r="M129" s="17"/>
      <c r="O129" s="17"/>
      <c r="Q129" s="17"/>
      <c r="T129" s="17"/>
      <c r="W129" s="15" t="str">
        <f t="shared" si="3"/>
        <v/>
      </c>
      <c r="X129" s="15" t="str">
        <f t="shared" si="4"/>
        <v/>
      </c>
      <c r="Y129" s="16" t="str">
        <f t="shared" ca="1" si="5"/>
        <v/>
      </c>
    </row>
    <row r="130" spans="3:25" x14ac:dyDescent="0.25">
      <c r="C130" s="17"/>
      <c r="G130" s="17"/>
      <c r="J130" s="17"/>
      <c r="M130" s="17"/>
      <c r="O130" s="17"/>
      <c r="Q130" s="17"/>
      <c r="T130" s="17"/>
      <c r="W130" s="15" t="str">
        <f t="shared" ref="W130:W193" si="6">IF($A130="","",IF($U130="Accepted","Hired",IF($S130="Yes","Offer",IF(OR($R130="In Progress",$R130="Completed"),"Reference",IF(OR($P130="Yes",$O130&lt;&gt;""),"Assessment",IF(OR($M130&lt;&gt;"",$L130&lt;&gt;"",$K130&lt;&gt;""),"Partner",IF(OR($J130&lt;&gt;"",$I130&lt;&gt;"",$H130&lt;&gt;""),"First Round",IF($F130="Yes","Screened","Contacted"))))))))</f>
        <v/>
      </c>
      <c r="X130" s="15" t="str">
        <f t="shared" ref="X130:X193" si="7">IF($A130="","",IF(OR($U130="Accepted",$U130="Declined",$H130="Rejected",$K130="Rejected"),"Closed","Active"))</f>
        <v/>
      </c>
      <c r="Y130" s="16" t="str">
        <f t="shared" ref="Y130:Y193" ca="1" si="8">IF($C130="","",TODAY()-$C130)</f>
        <v/>
      </c>
    </row>
    <row r="131" spans="3:25" x14ac:dyDescent="0.25">
      <c r="C131" s="17"/>
      <c r="G131" s="17"/>
      <c r="J131" s="17"/>
      <c r="M131" s="17"/>
      <c r="O131" s="17"/>
      <c r="Q131" s="17"/>
      <c r="T131" s="17"/>
      <c r="W131" s="15" t="str">
        <f t="shared" si="6"/>
        <v/>
      </c>
      <c r="X131" s="15" t="str">
        <f t="shared" si="7"/>
        <v/>
      </c>
      <c r="Y131" s="16" t="str">
        <f t="shared" ca="1" si="8"/>
        <v/>
      </c>
    </row>
    <row r="132" spans="3:25" x14ac:dyDescent="0.25">
      <c r="C132" s="17"/>
      <c r="G132" s="17"/>
      <c r="J132" s="17"/>
      <c r="M132" s="17"/>
      <c r="O132" s="17"/>
      <c r="Q132" s="17"/>
      <c r="T132" s="17"/>
      <c r="W132" s="15" t="str">
        <f t="shared" si="6"/>
        <v/>
      </c>
      <c r="X132" s="15" t="str">
        <f t="shared" si="7"/>
        <v/>
      </c>
      <c r="Y132" s="16" t="str">
        <f t="shared" ca="1" si="8"/>
        <v/>
      </c>
    </row>
    <row r="133" spans="3:25" x14ac:dyDescent="0.25">
      <c r="C133" s="17"/>
      <c r="G133" s="17"/>
      <c r="J133" s="17"/>
      <c r="M133" s="17"/>
      <c r="O133" s="17"/>
      <c r="Q133" s="17"/>
      <c r="T133" s="17"/>
      <c r="W133" s="15" t="str">
        <f t="shared" si="6"/>
        <v/>
      </c>
      <c r="X133" s="15" t="str">
        <f t="shared" si="7"/>
        <v/>
      </c>
      <c r="Y133" s="16" t="str">
        <f t="shared" ca="1" si="8"/>
        <v/>
      </c>
    </row>
    <row r="134" spans="3:25" x14ac:dyDescent="0.25">
      <c r="C134" s="17"/>
      <c r="G134" s="17"/>
      <c r="J134" s="17"/>
      <c r="M134" s="17"/>
      <c r="O134" s="17"/>
      <c r="Q134" s="17"/>
      <c r="T134" s="17"/>
      <c r="W134" s="15" t="str">
        <f t="shared" si="6"/>
        <v/>
      </c>
      <c r="X134" s="15" t="str">
        <f t="shared" si="7"/>
        <v/>
      </c>
      <c r="Y134" s="16" t="str">
        <f t="shared" ca="1" si="8"/>
        <v/>
      </c>
    </row>
    <row r="135" spans="3:25" x14ac:dyDescent="0.25">
      <c r="C135" s="17"/>
      <c r="G135" s="17"/>
      <c r="J135" s="17"/>
      <c r="M135" s="17"/>
      <c r="O135" s="17"/>
      <c r="Q135" s="17"/>
      <c r="T135" s="17"/>
      <c r="W135" s="15" t="str">
        <f t="shared" si="6"/>
        <v/>
      </c>
      <c r="X135" s="15" t="str">
        <f t="shared" si="7"/>
        <v/>
      </c>
      <c r="Y135" s="16" t="str">
        <f t="shared" ca="1" si="8"/>
        <v/>
      </c>
    </row>
    <row r="136" spans="3:25" x14ac:dyDescent="0.25">
      <c r="C136" s="17"/>
      <c r="G136" s="17"/>
      <c r="J136" s="17"/>
      <c r="M136" s="17"/>
      <c r="O136" s="17"/>
      <c r="Q136" s="17"/>
      <c r="T136" s="17"/>
      <c r="W136" s="15" t="str">
        <f t="shared" si="6"/>
        <v/>
      </c>
      <c r="X136" s="15" t="str">
        <f t="shared" si="7"/>
        <v/>
      </c>
      <c r="Y136" s="16" t="str">
        <f t="shared" ca="1" si="8"/>
        <v/>
      </c>
    </row>
    <row r="137" spans="3:25" x14ac:dyDescent="0.25">
      <c r="C137" s="17"/>
      <c r="G137" s="17"/>
      <c r="J137" s="17"/>
      <c r="M137" s="17"/>
      <c r="O137" s="17"/>
      <c r="Q137" s="17"/>
      <c r="T137" s="17"/>
      <c r="W137" s="15" t="str">
        <f t="shared" si="6"/>
        <v/>
      </c>
      <c r="X137" s="15" t="str">
        <f t="shared" si="7"/>
        <v/>
      </c>
      <c r="Y137" s="16" t="str">
        <f t="shared" ca="1" si="8"/>
        <v/>
      </c>
    </row>
    <row r="138" spans="3:25" x14ac:dyDescent="0.25">
      <c r="C138" s="17"/>
      <c r="G138" s="17"/>
      <c r="J138" s="17"/>
      <c r="M138" s="17"/>
      <c r="O138" s="17"/>
      <c r="Q138" s="17"/>
      <c r="T138" s="17"/>
      <c r="W138" s="15" t="str">
        <f t="shared" si="6"/>
        <v/>
      </c>
      <c r="X138" s="15" t="str">
        <f t="shared" si="7"/>
        <v/>
      </c>
      <c r="Y138" s="16" t="str">
        <f t="shared" ca="1" si="8"/>
        <v/>
      </c>
    </row>
    <row r="139" spans="3:25" x14ac:dyDescent="0.25">
      <c r="C139" s="17"/>
      <c r="G139" s="17"/>
      <c r="J139" s="17"/>
      <c r="M139" s="17"/>
      <c r="O139" s="17"/>
      <c r="Q139" s="17"/>
      <c r="T139" s="17"/>
      <c r="W139" s="15" t="str">
        <f t="shared" si="6"/>
        <v/>
      </c>
      <c r="X139" s="15" t="str">
        <f t="shared" si="7"/>
        <v/>
      </c>
      <c r="Y139" s="16" t="str">
        <f t="shared" ca="1" si="8"/>
        <v/>
      </c>
    </row>
    <row r="140" spans="3:25" x14ac:dyDescent="0.25">
      <c r="C140" s="17"/>
      <c r="G140" s="17"/>
      <c r="J140" s="17"/>
      <c r="M140" s="17"/>
      <c r="O140" s="17"/>
      <c r="Q140" s="17"/>
      <c r="T140" s="17"/>
      <c r="W140" s="15" t="str">
        <f t="shared" si="6"/>
        <v/>
      </c>
      <c r="X140" s="15" t="str">
        <f t="shared" si="7"/>
        <v/>
      </c>
      <c r="Y140" s="16" t="str">
        <f t="shared" ca="1" si="8"/>
        <v/>
      </c>
    </row>
    <row r="141" spans="3:25" x14ac:dyDescent="0.25">
      <c r="C141" s="17"/>
      <c r="G141" s="17"/>
      <c r="J141" s="17"/>
      <c r="M141" s="17"/>
      <c r="O141" s="17"/>
      <c r="Q141" s="17"/>
      <c r="T141" s="17"/>
      <c r="W141" s="15" t="str">
        <f t="shared" si="6"/>
        <v/>
      </c>
      <c r="X141" s="15" t="str">
        <f t="shared" si="7"/>
        <v/>
      </c>
      <c r="Y141" s="16" t="str">
        <f t="shared" ca="1" si="8"/>
        <v/>
      </c>
    </row>
    <row r="142" spans="3:25" x14ac:dyDescent="0.25">
      <c r="C142" s="17"/>
      <c r="G142" s="17"/>
      <c r="J142" s="17"/>
      <c r="M142" s="17"/>
      <c r="O142" s="17"/>
      <c r="Q142" s="17"/>
      <c r="T142" s="17"/>
      <c r="W142" s="15" t="str">
        <f t="shared" si="6"/>
        <v/>
      </c>
      <c r="X142" s="15" t="str">
        <f t="shared" si="7"/>
        <v/>
      </c>
      <c r="Y142" s="16" t="str">
        <f t="shared" ca="1" si="8"/>
        <v/>
      </c>
    </row>
    <row r="143" spans="3:25" x14ac:dyDescent="0.25">
      <c r="C143" s="17"/>
      <c r="G143" s="17"/>
      <c r="J143" s="17"/>
      <c r="M143" s="17"/>
      <c r="O143" s="17"/>
      <c r="Q143" s="17"/>
      <c r="T143" s="17"/>
      <c r="W143" s="15" t="str">
        <f t="shared" si="6"/>
        <v/>
      </c>
      <c r="X143" s="15" t="str">
        <f t="shared" si="7"/>
        <v/>
      </c>
      <c r="Y143" s="16" t="str">
        <f t="shared" ca="1" si="8"/>
        <v/>
      </c>
    </row>
    <row r="144" spans="3:25" x14ac:dyDescent="0.25">
      <c r="C144" s="17"/>
      <c r="G144" s="17"/>
      <c r="J144" s="17"/>
      <c r="M144" s="17"/>
      <c r="O144" s="17"/>
      <c r="Q144" s="17"/>
      <c r="T144" s="17"/>
      <c r="W144" s="15" t="str">
        <f t="shared" si="6"/>
        <v/>
      </c>
      <c r="X144" s="15" t="str">
        <f t="shared" si="7"/>
        <v/>
      </c>
      <c r="Y144" s="16" t="str">
        <f t="shared" ca="1" si="8"/>
        <v/>
      </c>
    </row>
    <row r="145" spans="3:25" x14ac:dyDescent="0.25">
      <c r="C145" s="17"/>
      <c r="G145" s="17"/>
      <c r="J145" s="17"/>
      <c r="M145" s="17"/>
      <c r="O145" s="17"/>
      <c r="Q145" s="17"/>
      <c r="T145" s="17"/>
      <c r="W145" s="15" t="str">
        <f t="shared" si="6"/>
        <v/>
      </c>
      <c r="X145" s="15" t="str">
        <f t="shared" si="7"/>
        <v/>
      </c>
      <c r="Y145" s="16" t="str">
        <f t="shared" ca="1" si="8"/>
        <v/>
      </c>
    </row>
    <row r="146" spans="3:25" x14ac:dyDescent="0.25">
      <c r="C146" s="17"/>
      <c r="G146" s="17"/>
      <c r="J146" s="17"/>
      <c r="M146" s="17"/>
      <c r="O146" s="17"/>
      <c r="Q146" s="17"/>
      <c r="T146" s="17"/>
      <c r="W146" s="15" t="str">
        <f t="shared" si="6"/>
        <v/>
      </c>
      <c r="X146" s="15" t="str">
        <f t="shared" si="7"/>
        <v/>
      </c>
      <c r="Y146" s="16" t="str">
        <f t="shared" ca="1" si="8"/>
        <v/>
      </c>
    </row>
    <row r="147" spans="3:25" x14ac:dyDescent="0.25">
      <c r="C147" s="17"/>
      <c r="G147" s="17"/>
      <c r="J147" s="17"/>
      <c r="M147" s="17"/>
      <c r="O147" s="17"/>
      <c r="Q147" s="17"/>
      <c r="T147" s="17"/>
      <c r="W147" s="15" t="str">
        <f t="shared" si="6"/>
        <v/>
      </c>
      <c r="X147" s="15" t="str">
        <f t="shared" si="7"/>
        <v/>
      </c>
      <c r="Y147" s="16" t="str">
        <f t="shared" ca="1" si="8"/>
        <v/>
      </c>
    </row>
    <row r="148" spans="3:25" x14ac:dyDescent="0.25">
      <c r="C148" s="17"/>
      <c r="G148" s="17"/>
      <c r="J148" s="17"/>
      <c r="M148" s="17"/>
      <c r="O148" s="17"/>
      <c r="Q148" s="17"/>
      <c r="T148" s="17"/>
      <c r="W148" s="15" t="str">
        <f t="shared" si="6"/>
        <v/>
      </c>
      <c r="X148" s="15" t="str">
        <f t="shared" si="7"/>
        <v/>
      </c>
      <c r="Y148" s="16" t="str">
        <f t="shared" ca="1" si="8"/>
        <v/>
      </c>
    </row>
    <row r="149" spans="3:25" x14ac:dyDescent="0.25">
      <c r="C149" s="17"/>
      <c r="G149" s="17"/>
      <c r="J149" s="17"/>
      <c r="M149" s="17"/>
      <c r="O149" s="17"/>
      <c r="Q149" s="17"/>
      <c r="T149" s="17"/>
      <c r="W149" s="15" t="str">
        <f t="shared" si="6"/>
        <v/>
      </c>
      <c r="X149" s="15" t="str">
        <f t="shared" si="7"/>
        <v/>
      </c>
      <c r="Y149" s="16" t="str">
        <f t="shared" ca="1" si="8"/>
        <v/>
      </c>
    </row>
    <row r="150" spans="3:25" x14ac:dyDescent="0.25">
      <c r="C150" s="17"/>
      <c r="G150" s="17"/>
      <c r="J150" s="17"/>
      <c r="M150" s="17"/>
      <c r="O150" s="17"/>
      <c r="Q150" s="17"/>
      <c r="T150" s="17"/>
      <c r="W150" s="15" t="str">
        <f t="shared" si="6"/>
        <v/>
      </c>
      <c r="X150" s="15" t="str">
        <f t="shared" si="7"/>
        <v/>
      </c>
      <c r="Y150" s="16" t="str">
        <f t="shared" ca="1" si="8"/>
        <v/>
      </c>
    </row>
    <row r="151" spans="3:25" x14ac:dyDescent="0.25">
      <c r="C151" s="17"/>
      <c r="G151" s="17"/>
      <c r="J151" s="17"/>
      <c r="M151" s="17"/>
      <c r="O151" s="17"/>
      <c r="Q151" s="17"/>
      <c r="T151" s="17"/>
      <c r="W151" s="15" t="str">
        <f t="shared" si="6"/>
        <v/>
      </c>
      <c r="X151" s="15" t="str">
        <f t="shared" si="7"/>
        <v/>
      </c>
      <c r="Y151" s="16" t="str">
        <f t="shared" ca="1" si="8"/>
        <v/>
      </c>
    </row>
    <row r="152" spans="3:25" x14ac:dyDescent="0.25">
      <c r="C152" s="17"/>
      <c r="G152" s="17"/>
      <c r="J152" s="17"/>
      <c r="M152" s="17"/>
      <c r="O152" s="17"/>
      <c r="Q152" s="17"/>
      <c r="T152" s="17"/>
      <c r="W152" s="15" t="str">
        <f t="shared" si="6"/>
        <v/>
      </c>
      <c r="X152" s="15" t="str">
        <f t="shared" si="7"/>
        <v/>
      </c>
      <c r="Y152" s="16" t="str">
        <f t="shared" ca="1" si="8"/>
        <v/>
      </c>
    </row>
    <row r="153" spans="3:25" x14ac:dyDescent="0.25">
      <c r="C153" s="17"/>
      <c r="G153" s="17"/>
      <c r="J153" s="17"/>
      <c r="M153" s="17"/>
      <c r="O153" s="17"/>
      <c r="Q153" s="17"/>
      <c r="T153" s="17"/>
      <c r="W153" s="15" t="str">
        <f t="shared" si="6"/>
        <v/>
      </c>
      <c r="X153" s="15" t="str">
        <f t="shared" si="7"/>
        <v/>
      </c>
      <c r="Y153" s="16" t="str">
        <f t="shared" ca="1" si="8"/>
        <v/>
      </c>
    </row>
    <row r="154" spans="3:25" x14ac:dyDescent="0.25">
      <c r="C154" s="17"/>
      <c r="G154" s="17"/>
      <c r="J154" s="17"/>
      <c r="M154" s="17"/>
      <c r="O154" s="17"/>
      <c r="Q154" s="17"/>
      <c r="T154" s="17"/>
      <c r="W154" s="15" t="str">
        <f t="shared" si="6"/>
        <v/>
      </c>
      <c r="X154" s="15" t="str">
        <f t="shared" si="7"/>
        <v/>
      </c>
      <c r="Y154" s="16" t="str">
        <f t="shared" ca="1" si="8"/>
        <v/>
      </c>
    </row>
    <row r="155" spans="3:25" x14ac:dyDescent="0.25">
      <c r="C155" s="17"/>
      <c r="G155" s="17"/>
      <c r="J155" s="17"/>
      <c r="M155" s="17"/>
      <c r="O155" s="17"/>
      <c r="Q155" s="17"/>
      <c r="T155" s="17"/>
      <c r="W155" s="15" t="str">
        <f t="shared" si="6"/>
        <v/>
      </c>
      <c r="X155" s="15" t="str">
        <f t="shared" si="7"/>
        <v/>
      </c>
      <c r="Y155" s="16" t="str">
        <f t="shared" ca="1" si="8"/>
        <v/>
      </c>
    </row>
    <row r="156" spans="3:25" x14ac:dyDescent="0.25">
      <c r="C156" s="17"/>
      <c r="G156" s="17"/>
      <c r="J156" s="17"/>
      <c r="M156" s="17"/>
      <c r="O156" s="17"/>
      <c r="Q156" s="17"/>
      <c r="T156" s="17"/>
      <c r="W156" s="15" t="str">
        <f t="shared" si="6"/>
        <v/>
      </c>
      <c r="X156" s="15" t="str">
        <f t="shared" si="7"/>
        <v/>
      </c>
      <c r="Y156" s="16" t="str">
        <f t="shared" ca="1" si="8"/>
        <v/>
      </c>
    </row>
    <row r="157" spans="3:25" x14ac:dyDescent="0.25">
      <c r="C157" s="17"/>
      <c r="G157" s="17"/>
      <c r="J157" s="17"/>
      <c r="M157" s="17"/>
      <c r="O157" s="17"/>
      <c r="Q157" s="17"/>
      <c r="T157" s="17"/>
      <c r="W157" s="15" t="str">
        <f t="shared" si="6"/>
        <v/>
      </c>
      <c r="X157" s="15" t="str">
        <f t="shared" si="7"/>
        <v/>
      </c>
      <c r="Y157" s="16" t="str">
        <f t="shared" ca="1" si="8"/>
        <v/>
      </c>
    </row>
    <row r="158" spans="3:25" x14ac:dyDescent="0.25">
      <c r="C158" s="17"/>
      <c r="G158" s="17"/>
      <c r="J158" s="17"/>
      <c r="M158" s="17"/>
      <c r="O158" s="17"/>
      <c r="Q158" s="17"/>
      <c r="T158" s="17"/>
      <c r="W158" s="15" t="str">
        <f t="shared" si="6"/>
        <v/>
      </c>
      <c r="X158" s="15" t="str">
        <f t="shared" si="7"/>
        <v/>
      </c>
      <c r="Y158" s="16" t="str">
        <f t="shared" ca="1" si="8"/>
        <v/>
      </c>
    </row>
    <row r="159" spans="3:25" x14ac:dyDescent="0.25">
      <c r="C159" s="17"/>
      <c r="G159" s="17"/>
      <c r="J159" s="17"/>
      <c r="M159" s="17"/>
      <c r="O159" s="17"/>
      <c r="Q159" s="17"/>
      <c r="T159" s="17"/>
      <c r="W159" s="15" t="str">
        <f t="shared" si="6"/>
        <v/>
      </c>
      <c r="X159" s="15" t="str">
        <f t="shared" si="7"/>
        <v/>
      </c>
      <c r="Y159" s="16" t="str">
        <f t="shared" ca="1" si="8"/>
        <v/>
      </c>
    </row>
    <row r="160" spans="3:25" x14ac:dyDescent="0.25">
      <c r="C160" s="17"/>
      <c r="G160" s="17"/>
      <c r="J160" s="17"/>
      <c r="M160" s="17"/>
      <c r="O160" s="17"/>
      <c r="Q160" s="17"/>
      <c r="T160" s="17"/>
      <c r="W160" s="15" t="str">
        <f t="shared" si="6"/>
        <v/>
      </c>
      <c r="X160" s="15" t="str">
        <f t="shared" si="7"/>
        <v/>
      </c>
      <c r="Y160" s="16" t="str">
        <f t="shared" ca="1" si="8"/>
        <v/>
      </c>
    </row>
    <row r="161" spans="3:25" x14ac:dyDescent="0.25">
      <c r="C161" s="17"/>
      <c r="G161" s="17"/>
      <c r="J161" s="17"/>
      <c r="M161" s="17"/>
      <c r="O161" s="17"/>
      <c r="Q161" s="17"/>
      <c r="T161" s="17"/>
      <c r="W161" s="15" t="str">
        <f t="shared" si="6"/>
        <v/>
      </c>
      <c r="X161" s="15" t="str">
        <f t="shared" si="7"/>
        <v/>
      </c>
      <c r="Y161" s="16" t="str">
        <f t="shared" ca="1" si="8"/>
        <v/>
      </c>
    </row>
    <row r="162" spans="3:25" x14ac:dyDescent="0.25">
      <c r="C162" s="17"/>
      <c r="G162" s="17"/>
      <c r="J162" s="17"/>
      <c r="M162" s="17"/>
      <c r="O162" s="17"/>
      <c r="Q162" s="17"/>
      <c r="T162" s="17"/>
      <c r="W162" s="15" t="str">
        <f t="shared" si="6"/>
        <v/>
      </c>
      <c r="X162" s="15" t="str">
        <f t="shared" si="7"/>
        <v/>
      </c>
      <c r="Y162" s="16" t="str">
        <f t="shared" ca="1" si="8"/>
        <v/>
      </c>
    </row>
    <row r="163" spans="3:25" x14ac:dyDescent="0.25">
      <c r="C163" s="17"/>
      <c r="G163" s="17"/>
      <c r="J163" s="17"/>
      <c r="M163" s="17"/>
      <c r="O163" s="17"/>
      <c r="Q163" s="17"/>
      <c r="T163" s="17"/>
      <c r="W163" s="15" t="str">
        <f t="shared" si="6"/>
        <v/>
      </c>
      <c r="X163" s="15" t="str">
        <f t="shared" si="7"/>
        <v/>
      </c>
      <c r="Y163" s="16" t="str">
        <f t="shared" ca="1" si="8"/>
        <v/>
      </c>
    </row>
    <row r="164" spans="3:25" x14ac:dyDescent="0.25">
      <c r="C164" s="17"/>
      <c r="G164" s="17"/>
      <c r="J164" s="17"/>
      <c r="M164" s="17"/>
      <c r="O164" s="17"/>
      <c r="Q164" s="17"/>
      <c r="T164" s="17"/>
      <c r="W164" s="15" t="str">
        <f t="shared" si="6"/>
        <v/>
      </c>
      <c r="X164" s="15" t="str">
        <f t="shared" si="7"/>
        <v/>
      </c>
      <c r="Y164" s="16" t="str">
        <f t="shared" ca="1" si="8"/>
        <v/>
      </c>
    </row>
    <row r="165" spans="3:25" x14ac:dyDescent="0.25">
      <c r="C165" s="17"/>
      <c r="G165" s="17"/>
      <c r="J165" s="17"/>
      <c r="M165" s="17"/>
      <c r="O165" s="17"/>
      <c r="Q165" s="17"/>
      <c r="T165" s="17"/>
      <c r="W165" s="15" t="str">
        <f t="shared" si="6"/>
        <v/>
      </c>
      <c r="X165" s="15" t="str">
        <f t="shared" si="7"/>
        <v/>
      </c>
      <c r="Y165" s="16" t="str">
        <f t="shared" ca="1" si="8"/>
        <v/>
      </c>
    </row>
    <row r="166" spans="3:25" x14ac:dyDescent="0.25">
      <c r="C166" s="17"/>
      <c r="G166" s="17"/>
      <c r="J166" s="17"/>
      <c r="M166" s="17"/>
      <c r="O166" s="17"/>
      <c r="Q166" s="17"/>
      <c r="T166" s="17"/>
      <c r="W166" s="15" t="str">
        <f t="shared" si="6"/>
        <v/>
      </c>
      <c r="X166" s="15" t="str">
        <f t="shared" si="7"/>
        <v/>
      </c>
      <c r="Y166" s="16" t="str">
        <f t="shared" ca="1" si="8"/>
        <v/>
      </c>
    </row>
    <row r="167" spans="3:25" x14ac:dyDescent="0.25">
      <c r="C167" s="17"/>
      <c r="G167" s="17"/>
      <c r="J167" s="17"/>
      <c r="M167" s="17"/>
      <c r="O167" s="17"/>
      <c r="Q167" s="17"/>
      <c r="T167" s="17"/>
      <c r="W167" s="15" t="str">
        <f t="shared" si="6"/>
        <v/>
      </c>
      <c r="X167" s="15" t="str">
        <f t="shared" si="7"/>
        <v/>
      </c>
      <c r="Y167" s="16" t="str">
        <f t="shared" ca="1" si="8"/>
        <v/>
      </c>
    </row>
    <row r="168" spans="3:25" x14ac:dyDescent="0.25">
      <c r="C168" s="17"/>
      <c r="G168" s="17"/>
      <c r="J168" s="17"/>
      <c r="M168" s="17"/>
      <c r="O168" s="17"/>
      <c r="Q168" s="17"/>
      <c r="T168" s="17"/>
      <c r="W168" s="15" t="str">
        <f t="shared" si="6"/>
        <v/>
      </c>
      <c r="X168" s="15" t="str">
        <f t="shared" si="7"/>
        <v/>
      </c>
      <c r="Y168" s="16" t="str">
        <f t="shared" ca="1" si="8"/>
        <v/>
      </c>
    </row>
    <row r="169" spans="3:25" x14ac:dyDescent="0.25">
      <c r="C169" s="17"/>
      <c r="G169" s="17"/>
      <c r="J169" s="17"/>
      <c r="M169" s="17"/>
      <c r="O169" s="17"/>
      <c r="Q169" s="17"/>
      <c r="T169" s="17"/>
      <c r="W169" s="15" t="str">
        <f t="shared" si="6"/>
        <v/>
      </c>
      <c r="X169" s="15" t="str">
        <f t="shared" si="7"/>
        <v/>
      </c>
      <c r="Y169" s="16" t="str">
        <f t="shared" ca="1" si="8"/>
        <v/>
      </c>
    </row>
    <row r="170" spans="3:25" x14ac:dyDescent="0.25">
      <c r="C170" s="17"/>
      <c r="G170" s="17"/>
      <c r="J170" s="17"/>
      <c r="M170" s="17"/>
      <c r="O170" s="17"/>
      <c r="Q170" s="17"/>
      <c r="T170" s="17"/>
      <c r="W170" s="15" t="str">
        <f t="shared" si="6"/>
        <v/>
      </c>
      <c r="X170" s="15" t="str">
        <f t="shared" si="7"/>
        <v/>
      </c>
      <c r="Y170" s="16" t="str">
        <f t="shared" ca="1" si="8"/>
        <v/>
      </c>
    </row>
    <row r="171" spans="3:25" x14ac:dyDescent="0.25">
      <c r="C171" s="17"/>
      <c r="G171" s="17"/>
      <c r="J171" s="17"/>
      <c r="M171" s="17"/>
      <c r="O171" s="17"/>
      <c r="Q171" s="17"/>
      <c r="T171" s="17"/>
      <c r="W171" s="15" t="str">
        <f t="shared" si="6"/>
        <v/>
      </c>
      <c r="X171" s="15" t="str">
        <f t="shared" si="7"/>
        <v/>
      </c>
      <c r="Y171" s="16" t="str">
        <f t="shared" ca="1" si="8"/>
        <v/>
      </c>
    </row>
    <row r="172" spans="3:25" x14ac:dyDescent="0.25">
      <c r="C172" s="17"/>
      <c r="G172" s="17"/>
      <c r="J172" s="17"/>
      <c r="M172" s="17"/>
      <c r="O172" s="17"/>
      <c r="Q172" s="17"/>
      <c r="T172" s="17"/>
      <c r="W172" s="15" t="str">
        <f t="shared" si="6"/>
        <v/>
      </c>
      <c r="X172" s="15" t="str">
        <f t="shared" si="7"/>
        <v/>
      </c>
      <c r="Y172" s="16" t="str">
        <f t="shared" ca="1" si="8"/>
        <v/>
      </c>
    </row>
    <row r="173" spans="3:25" x14ac:dyDescent="0.25">
      <c r="C173" s="17"/>
      <c r="G173" s="17"/>
      <c r="J173" s="17"/>
      <c r="M173" s="17"/>
      <c r="O173" s="17"/>
      <c r="Q173" s="17"/>
      <c r="T173" s="17"/>
      <c r="W173" s="15" t="str">
        <f t="shared" si="6"/>
        <v/>
      </c>
      <c r="X173" s="15" t="str">
        <f t="shared" si="7"/>
        <v/>
      </c>
      <c r="Y173" s="16" t="str">
        <f t="shared" ca="1" si="8"/>
        <v/>
      </c>
    </row>
    <row r="174" spans="3:25" x14ac:dyDescent="0.25">
      <c r="C174" s="17"/>
      <c r="G174" s="17"/>
      <c r="J174" s="17"/>
      <c r="M174" s="17"/>
      <c r="O174" s="17"/>
      <c r="Q174" s="17"/>
      <c r="T174" s="17"/>
      <c r="W174" s="15" t="str">
        <f t="shared" si="6"/>
        <v/>
      </c>
      <c r="X174" s="15" t="str">
        <f t="shared" si="7"/>
        <v/>
      </c>
      <c r="Y174" s="16" t="str">
        <f t="shared" ca="1" si="8"/>
        <v/>
      </c>
    </row>
    <row r="175" spans="3:25" x14ac:dyDescent="0.25">
      <c r="C175" s="17"/>
      <c r="G175" s="17"/>
      <c r="J175" s="17"/>
      <c r="M175" s="17"/>
      <c r="O175" s="17"/>
      <c r="Q175" s="17"/>
      <c r="T175" s="17"/>
      <c r="W175" s="15" t="str">
        <f t="shared" si="6"/>
        <v/>
      </c>
      <c r="X175" s="15" t="str">
        <f t="shared" si="7"/>
        <v/>
      </c>
      <c r="Y175" s="16" t="str">
        <f t="shared" ca="1" si="8"/>
        <v/>
      </c>
    </row>
    <row r="176" spans="3:25" x14ac:dyDescent="0.25">
      <c r="C176" s="17"/>
      <c r="G176" s="17"/>
      <c r="J176" s="17"/>
      <c r="M176" s="17"/>
      <c r="O176" s="17"/>
      <c r="Q176" s="17"/>
      <c r="T176" s="17"/>
      <c r="W176" s="15" t="str">
        <f t="shared" si="6"/>
        <v/>
      </c>
      <c r="X176" s="15" t="str">
        <f t="shared" si="7"/>
        <v/>
      </c>
      <c r="Y176" s="16" t="str">
        <f t="shared" ca="1" si="8"/>
        <v/>
      </c>
    </row>
    <row r="177" spans="3:25" x14ac:dyDescent="0.25">
      <c r="C177" s="17"/>
      <c r="G177" s="17"/>
      <c r="J177" s="17"/>
      <c r="M177" s="17"/>
      <c r="O177" s="17"/>
      <c r="Q177" s="17"/>
      <c r="T177" s="17"/>
      <c r="W177" s="15" t="str">
        <f t="shared" si="6"/>
        <v/>
      </c>
      <c r="X177" s="15" t="str">
        <f t="shared" si="7"/>
        <v/>
      </c>
      <c r="Y177" s="16" t="str">
        <f t="shared" ca="1" si="8"/>
        <v/>
      </c>
    </row>
    <row r="178" spans="3:25" x14ac:dyDescent="0.25">
      <c r="C178" s="17"/>
      <c r="G178" s="17"/>
      <c r="J178" s="17"/>
      <c r="M178" s="17"/>
      <c r="O178" s="17"/>
      <c r="Q178" s="17"/>
      <c r="T178" s="17"/>
      <c r="W178" s="15" t="str">
        <f t="shared" si="6"/>
        <v/>
      </c>
      <c r="X178" s="15" t="str">
        <f t="shared" si="7"/>
        <v/>
      </c>
      <c r="Y178" s="16" t="str">
        <f t="shared" ca="1" si="8"/>
        <v/>
      </c>
    </row>
    <row r="179" spans="3:25" x14ac:dyDescent="0.25">
      <c r="C179" s="17"/>
      <c r="G179" s="17"/>
      <c r="J179" s="17"/>
      <c r="M179" s="17"/>
      <c r="O179" s="17"/>
      <c r="Q179" s="17"/>
      <c r="T179" s="17"/>
      <c r="W179" s="15" t="str">
        <f t="shared" si="6"/>
        <v/>
      </c>
      <c r="X179" s="15" t="str">
        <f t="shared" si="7"/>
        <v/>
      </c>
      <c r="Y179" s="16" t="str">
        <f t="shared" ca="1" si="8"/>
        <v/>
      </c>
    </row>
    <row r="180" spans="3:25" x14ac:dyDescent="0.25">
      <c r="C180" s="17"/>
      <c r="G180" s="17"/>
      <c r="J180" s="17"/>
      <c r="M180" s="17"/>
      <c r="O180" s="17"/>
      <c r="Q180" s="17"/>
      <c r="T180" s="17"/>
      <c r="W180" s="15" t="str">
        <f t="shared" si="6"/>
        <v/>
      </c>
      <c r="X180" s="15" t="str">
        <f t="shared" si="7"/>
        <v/>
      </c>
      <c r="Y180" s="16" t="str">
        <f t="shared" ca="1" si="8"/>
        <v/>
      </c>
    </row>
    <row r="181" spans="3:25" x14ac:dyDescent="0.25">
      <c r="C181" s="17"/>
      <c r="G181" s="17"/>
      <c r="J181" s="17"/>
      <c r="M181" s="17"/>
      <c r="O181" s="17"/>
      <c r="Q181" s="17"/>
      <c r="T181" s="17"/>
      <c r="W181" s="15" t="str">
        <f t="shared" si="6"/>
        <v/>
      </c>
      <c r="X181" s="15" t="str">
        <f t="shared" si="7"/>
        <v/>
      </c>
      <c r="Y181" s="16" t="str">
        <f t="shared" ca="1" si="8"/>
        <v/>
      </c>
    </row>
    <row r="182" spans="3:25" x14ac:dyDescent="0.25">
      <c r="C182" s="17"/>
      <c r="G182" s="17"/>
      <c r="J182" s="17"/>
      <c r="M182" s="17"/>
      <c r="O182" s="17"/>
      <c r="Q182" s="17"/>
      <c r="T182" s="17"/>
      <c r="W182" s="15" t="str">
        <f t="shared" si="6"/>
        <v/>
      </c>
      <c r="X182" s="15" t="str">
        <f t="shared" si="7"/>
        <v/>
      </c>
      <c r="Y182" s="16" t="str">
        <f t="shared" ca="1" si="8"/>
        <v/>
      </c>
    </row>
    <row r="183" spans="3:25" x14ac:dyDescent="0.25">
      <c r="C183" s="17"/>
      <c r="G183" s="17"/>
      <c r="J183" s="17"/>
      <c r="M183" s="17"/>
      <c r="O183" s="17"/>
      <c r="Q183" s="17"/>
      <c r="T183" s="17"/>
      <c r="W183" s="15" t="str">
        <f t="shared" si="6"/>
        <v/>
      </c>
      <c r="X183" s="15" t="str">
        <f t="shared" si="7"/>
        <v/>
      </c>
      <c r="Y183" s="16" t="str">
        <f t="shared" ca="1" si="8"/>
        <v/>
      </c>
    </row>
    <row r="184" spans="3:25" x14ac:dyDescent="0.25">
      <c r="C184" s="17"/>
      <c r="G184" s="17"/>
      <c r="J184" s="17"/>
      <c r="M184" s="17"/>
      <c r="O184" s="17"/>
      <c r="Q184" s="17"/>
      <c r="T184" s="17"/>
      <c r="W184" s="15" t="str">
        <f t="shared" si="6"/>
        <v/>
      </c>
      <c r="X184" s="15" t="str">
        <f t="shared" si="7"/>
        <v/>
      </c>
      <c r="Y184" s="16" t="str">
        <f t="shared" ca="1" si="8"/>
        <v/>
      </c>
    </row>
    <row r="185" spans="3:25" x14ac:dyDescent="0.25">
      <c r="C185" s="17"/>
      <c r="G185" s="17"/>
      <c r="J185" s="17"/>
      <c r="M185" s="17"/>
      <c r="O185" s="17"/>
      <c r="Q185" s="17"/>
      <c r="T185" s="17"/>
      <c r="W185" s="15" t="str">
        <f t="shared" si="6"/>
        <v/>
      </c>
      <c r="X185" s="15" t="str">
        <f t="shared" si="7"/>
        <v/>
      </c>
      <c r="Y185" s="16" t="str">
        <f t="shared" ca="1" si="8"/>
        <v/>
      </c>
    </row>
    <row r="186" spans="3:25" x14ac:dyDescent="0.25">
      <c r="C186" s="17"/>
      <c r="G186" s="17"/>
      <c r="J186" s="17"/>
      <c r="M186" s="17"/>
      <c r="O186" s="17"/>
      <c r="Q186" s="17"/>
      <c r="T186" s="17"/>
      <c r="W186" s="15" t="str">
        <f t="shared" si="6"/>
        <v/>
      </c>
      <c r="X186" s="15" t="str">
        <f t="shared" si="7"/>
        <v/>
      </c>
      <c r="Y186" s="16" t="str">
        <f t="shared" ca="1" si="8"/>
        <v/>
      </c>
    </row>
    <row r="187" spans="3:25" x14ac:dyDescent="0.25">
      <c r="C187" s="17"/>
      <c r="G187" s="17"/>
      <c r="J187" s="17"/>
      <c r="M187" s="17"/>
      <c r="O187" s="17"/>
      <c r="Q187" s="17"/>
      <c r="T187" s="17"/>
      <c r="W187" s="15" t="str">
        <f t="shared" si="6"/>
        <v/>
      </c>
      <c r="X187" s="15" t="str">
        <f t="shared" si="7"/>
        <v/>
      </c>
      <c r="Y187" s="16" t="str">
        <f t="shared" ca="1" si="8"/>
        <v/>
      </c>
    </row>
    <row r="188" spans="3:25" x14ac:dyDescent="0.25">
      <c r="C188" s="17"/>
      <c r="G188" s="17"/>
      <c r="J188" s="17"/>
      <c r="M188" s="17"/>
      <c r="O188" s="17"/>
      <c r="Q188" s="17"/>
      <c r="T188" s="17"/>
      <c r="W188" s="15" t="str">
        <f t="shared" si="6"/>
        <v/>
      </c>
      <c r="X188" s="15" t="str">
        <f t="shared" si="7"/>
        <v/>
      </c>
      <c r="Y188" s="16" t="str">
        <f t="shared" ca="1" si="8"/>
        <v/>
      </c>
    </row>
    <row r="189" spans="3:25" x14ac:dyDescent="0.25">
      <c r="C189" s="17"/>
      <c r="G189" s="17"/>
      <c r="J189" s="17"/>
      <c r="M189" s="17"/>
      <c r="O189" s="17"/>
      <c r="Q189" s="17"/>
      <c r="T189" s="17"/>
      <c r="W189" s="15" t="str">
        <f t="shared" si="6"/>
        <v/>
      </c>
      <c r="X189" s="15" t="str">
        <f t="shared" si="7"/>
        <v/>
      </c>
      <c r="Y189" s="16" t="str">
        <f t="shared" ca="1" si="8"/>
        <v/>
      </c>
    </row>
    <row r="190" spans="3:25" x14ac:dyDescent="0.25">
      <c r="C190" s="17"/>
      <c r="G190" s="17"/>
      <c r="J190" s="17"/>
      <c r="M190" s="17"/>
      <c r="O190" s="17"/>
      <c r="Q190" s="17"/>
      <c r="T190" s="17"/>
      <c r="W190" s="15" t="str">
        <f t="shared" si="6"/>
        <v/>
      </c>
      <c r="X190" s="15" t="str">
        <f t="shared" si="7"/>
        <v/>
      </c>
      <c r="Y190" s="16" t="str">
        <f t="shared" ca="1" si="8"/>
        <v/>
      </c>
    </row>
    <row r="191" spans="3:25" x14ac:dyDescent="0.25">
      <c r="C191" s="17"/>
      <c r="G191" s="17"/>
      <c r="J191" s="17"/>
      <c r="M191" s="17"/>
      <c r="O191" s="17"/>
      <c r="Q191" s="17"/>
      <c r="T191" s="17"/>
      <c r="W191" s="15" t="str">
        <f t="shared" si="6"/>
        <v/>
      </c>
      <c r="X191" s="15" t="str">
        <f t="shared" si="7"/>
        <v/>
      </c>
      <c r="Y191" s="16" t="str">
        <f t="shared" ca="1" si="8"/>
        <v/>
      </c>
    </row>
    <row r="192" spans="3:25" x14ac:dyDescent="0.25">
      <c r="C192" s="17"/>
      <c r="G192" s="17"/>
      <c r="J192" s="17"/>
      <c r="M192" s="17"/>
      <c r="O192" s="17"/>
      <c r="Q192" s="17"/>
      <c r="T192" s="17"/>
      <c r="W192" s="15" t="str">
        <f t="shared" si="6"/>
        <v/>
      </c>
      <c r="X192" s="15" t="str">
        <f t="shared" si="7"/>
        <v/>
      </c>
      <c r="Y192" s="16" t="str">
        <f t="shared" ca="1" si="8"/>
        <v/>
      </c>
    </row>
    <row r="193" spans="3:25" x14ac:dyDescent="0.25">
      <c r="C193" s="17"/>
      <c r="G193" s="17"/>
      <c r="J193" s="17"/>
      <c r="M193" s="17"/>
      <c r="O193" s="17"/>
      <c r="Q193" s="17"/>
      <c r="T193" s="17"/>
      <c r="W193" s="15" t="str">
        <f t="shared" si="6"/>
        <v/>
      </c>
      <c r="X193" s="15" t="str">
        <f t="shared" si="7"/>
        <v/>
      </c>
      <c r="Y193" s="16" t="str">
        <f t="shared" ca="1" si="8"/>
        <v/>
      </c>
    </row>
    <row r="194" spans="3:25" x14ac:dyDescent="0.25">
      <c r="C194" s="17"/>
      <c r="G194" s="17"/>
      <c r="J194" s="17"/>
      <c r="M194" s="17"/>
      <c r="O194" s="17"/>
      <c r="Q194" s="17"/>
      <c r="T194" s="17"/>
      <c r="W194" s="15" t="str">
        <f t="shared" ref="W194:W257" si="9">IF($A194="","",IF($U194="Accepted","Hired",IF($S194="Yes","Offer",IF(OR($R194="In Progress",$R194="Completed"),"Reference",IF(OR($P194="Yes",$O194&lt;&gt;""),"Assessment",IF(OR($M194&lt;&gt;"",$L194&lt;&gt;"",$K194&lt;&gt;""),"Partner",IF(OR($J194&lt;&gt;"",$I194&lt;&gt;"",$H194&lt;&gt;""),"First Round",IF($F194="Yes","Screened","Contacted"))))))))</f>
        <v/>
      </c>
      <c r="X194" s="15" t="str">
        <f t="shared" ref="X194:X257" si="10">IF($A194="","",IF(OR($U194="Accepted",$U194="Declined",$H194="Rejected",$K194="Rejected"),"Closed","Active"))</f>
        <v/>
      </c>
      <c r="Y194" s="16" t="str">
        <f t="shared" ref="Y194:Y257" ca="1" si="11">IF($C194="","",TODAY()-$C194)</f>
        <v/>
      </c>
    </row>
    <row r="195" spans="3:25" x14ac:dyDescent="0.25">
      <c r="C195" s="17"/>
      <c r="G195" s="17"/>
      <c r="J195" s="17"/>
      <c r="M195" s="17"/>
      <c r="O195" s="17"/>
      <c r="Q195" s="17"/>
      <c r="T195" s="17"/>
      <c r="W195" s="15" t="str">
        <f t="shared" si="9"/>
        <v/>
      </c>
      <c r="X195" s="15" t="str">
        <f t="shared" si="10"/>
        <v/>
      </c>
      <c r="Y195" s="16" t="str">
        <f t="shared" ca="1" si="11"/>
        <v/>
      </c>
    </row>
    <row r="196" spans="3:25" x14ac:dyDescent="0.25">
      <c r="C196" s="17"/>
      <c r="G196" s="17"/>
      <c r="J196" s="17"/>
      <c r="M196" s="17"/>
      <c r="O196" s="17"/>
      <c r="Q196" s="17"/>
      <c r="T196" s="17"/>
      <c r="W196" s="15" t="str">
        <f t="shared" si="9"/>
        <v/>
      </c>
      <c r="X196" s="15" t="str">
        <f t="shared" si="10"/>
        <v/>
      </c>
      <c r="Y196" s="16" t="str">
        <f t="shared" ca="1" si="11"/>
        <v/>
      </c>
    </row>
    <row r="197" spans="3:25" x14ac:dyDescent="0.25">
      <c r="C197" s="17"/>
      <c r="G197" s="17"/>
      <c r="J197" s="17"/>
      <c r="M197" s="17"/>
      <c r="O197" s="17"/>
      <c r="Q197" s="17"/>
      <c r="T197" s="17"/>
      <c r="W197" s="15" t="str">
        <f t="shared" si="9"/>
        <v/>
      </c>
      <c r="X197" s="15" t="str">
        <f t="shared" si="10"/>
        <v/>
      </c>
      <c r="Y197" s="16" t="str">
        <f t="shared" ca="1" si="11"/>
        <v/>
      </c>
    </row>
    <row r="198" spans="3:25" x14ac:dyDescent="0.25">
      <c r="C198" s="17"/>
      <c r="G198" s="17"/>
      <c r="J198" s="17"/>
      <c r="M198" s="17"/>
      <c r="O198" s="17"/>
      <c r="Q198" s="17"/>
      <c r="T198" s="17"/>
      <c r="W198" s="15" t="str">
        <f t="shared" si="9"/>
        <v/>
      </c>
      <c r="X198" s="15" t="str">
        <f t="shared" si="10"/>
        <v/>
      </c>
      <c r="Y198" s="16" t="str">
        <f t="shared" ca="1" si="11"/>
        <v/>
      </c>
    </row>
    <row r="199" spans="3:25" x14ac:dyDescent="0.25">
      <c r="C199" s="17"/>
      <c r="G199" s="17"/>
      <c r="J199" s="17"/>
      <c r="M199" s="17"/>
      <c r="O199" s="17"/>
      <c r="Q199" s="17"/>
      <c r="T199" s="17"/>
      <c r="W199" s="15" t="str">
        <f t="shared" si="9"/>
        <v/>
      </c>
      <c r="X199" s="15" t="str">
        <f t="shared" si="10"/>
        <v/>
      </c>
      <c r="Y199" s="16" t="str">
        <f t="shared" ca="1" si="11"/>
        <v/>
      </c>
    </row>
    <row r="200" spans="3:25" x14ac:dyDescent="0.25">
      <c r="C200" s="17"/>
      <c r="G200" s="17"/>
      <c r="J200" s="17"/>
      <c r="M200" s="17"/>
      <c r="O200" s="17"/>
      <c r="Q200" s="17"/>
      <c r="T200" s="17"/>
      <c r="W200" s="15" t="str">
        <f t="shared" si="9"/>
        <v/>
      </c>
      <c r="X200" s="15" t="str">
        <f t="shared" si="10"/>
        <v/>
      </c>
      <c r="Y200" s="16" t="str">
        <f t="shared" ca="1" si="11"/>
        <v/>
      </c>
    </row>
    <row r="201" spans="3:25" x14ac:dyDescent="0.25">
      <c r="C201" s="17"/>
      <c r="G201" s="17"/>
      <c r="J201" s="17"/>
      <c r="M201" s="17"/>
      <c r="O201" s="17"/>
      <c r="Q201" s="17"/>
      <c r="T201" s="17"/>
      <c r="W201" s="15" t="str">
        <f t="shared" si="9"/>
        <v/>
      </c>
      <c r="X201" s="15" t="str">
        <f t="shared" si="10"/>
        <v/>
      </c>
      <c r="Y201" s="16" t="str">
        <f t="shared" ca="1" si="11"/>
        <v/>
      </c>
    </row>
    <row r="202" spans="3:25" x14ac:dyDescent="0.25">
      <c r="C202" s="17"/>
      <c r="G202" s="17"/>
      <c r="J202" s="17"/>
      <c r="M202" s="17"/>
      <c r="O202" s="17"/>
      <c r="Q202" s="17"/>
      <c r="T202" s="17"/>
      <c r="W202" s="15" t="str">
        <f t="shared" si="9"/>
        <v/>
      </c>
      <c r="X202" s="15" t="str">
        <f t="shared" si="10"/>
        <v/>
      </c>
      <c r="Y202" s="16" t="str">
        <f t="shared" ca="1" si="11"/>
        <v/>
      </c>
    </row>
    <row r="203" spans="3:25" x14ac:dyDescent="0.25">
      <c r="C203" s="17"/>
      <c r="G203" s="17"/>
      <c r="J203" s="17"/>
      <c r="M203" s="17"/>
      <c r="O203" s="17"/>
      <c r="Q203" s="17"/>
      <c r="T203" s="17"/>
      <c r="W203" s="15" t="str">
        <f t="shared" si="9"/>
        <v/>
      </c>
      <c r="X203" s="15" t="str">
        <f t="shared" si="10"/>
        <v/>
      </c>
      <c r="Y203" s="16" t="str">
        <f t="shared" ca="1" si="11"/>
        <v/>
      </c>
    </row>
    <row r="204" spans="3:25" x14ac:dyDescent="0.25">
      <c r="C204" s="17"/>
      <c r="G204" s="17"/>
      <c r="J204" s="17"/>
      <c r="M204" s="17"/>
      <c r="O204" s="17"/>
      <c r="Q204" s="17"/>
      <c r="T204" s="17"/>
      <c r="W204" s="15" t="str">
        <f t="shared" si="9"/>
        <v/>
      </c>
      <c r="X204" s="15" t="str">
        <f t="shared" si="10"/>
        <v/>
      </c>
      <c r="Y204" s="16" t="str">
        <f t="shared" ca="1" si="11"/>
        <v/>
      </c>
    </row>
    <row r="205" spans="3:25" x14ac:dyDescent="0.25">
      <c r="C205" s="17"/>
      <c r="G205" s="17"/>
      <c r="J205" s="17"/>
      <c r="M205" s="17"/>
      <c r="O205" s="17"/>
      <c r="Q205" s="17"/>
      <c r="T205" s="17"/>
      <c r="W205" s="15" t="str">
        <f t="shared" si="9"/>
        <v/>
      </c>
      <c r="X205" s="15" t="str">
        <f t="shared" si="10"/>
        <v/>
      </c>
      <c r="Y205" s="16" t="str">
        <f t="shared" ca="1" si="11"/>
        <v/>
      </c>
    </row>
    <row r="206" spans="3:25" x14ac:dyDescent="0.25">
      <c r="C206" s="17"/>
      <c r="G206" s="17"/>
      <c r="J206" s="17"/>
      <c r="M206" s="17"/>
      <c r="O206" s="17"/>
      <c r="Q206" s="17"/>
      <c r="T206" s="17"/>
      <c r="W206" s="15" t="str">
        <f t="shared" si="9"/>
        <v/>
      </c>
      <c r="X206" s="15" t="str">
        <f t="shared" si="10"/>
        <v/>
      </c>
      <c r="Y206" s="16" t="str">
        <f t="shared" ca="1" si="11"/>
        <v/>
      </c>
    </row>
    <row r="207" spans="3:25" x14ac:dyDescent="0.25">
      <c r="C207" s="17"/>
      <c r="G207" s="17"/>
      <c r="J207" s="17"/>
      <c r="M207" s="17"/>
      <c r="O207" s="17"/>
      <c r="Q207" s="17"/>
      <c r="T207" s="17"/>
      <c r="W207" s="15" t="str">
        <f t="shared" si="9"/>
        <v/>
      </c>
      <c r="X207" s="15" t="str">
        <f t="shared" si="10"/>
        <v/>
      </c>
      <c r="Y207" s="16" t="str">
        <f t="shared" ca="1" si="11"/>
        <v/>
      </c>
    </row>
    <row r="208" spans="3:25" x14ac:dyDescent="0.25">
      <c r="C208" s="17"/>
      <c r="G208" s="17"/>
      <c r="J208" s="17"/>
      <c r="M208" s="17"/>
      <c r="O208" s="17"/>
      <c r="Q208" s="17"/>
      <c r="T208" s="17"/>
      <c r="W208" s="15" t="str">
        <f t="shared" si="9"/>
        <v/>
      </c>
      <c r="X208" s="15" t="str">
        <f t="shared" si="10"/>
        <v/>
      </c>
      <c r="Y208" s="16" t="str">
        <f t="shared" ca="1" si="11"/>
        <v/>
      </c>
    </row>
    <row r="209" spans="3:25" x14ac:dyDescent="0.25">
      <c r="C209" s="17"/>
      <c r="G209" s="17"/>
      <c r="J209" s="17"/>
      <c r="M209" s="17"/>
      <c r="O209" s="17"/>
      <c r="Q209" s="17"/>
      <c r="T209" s="17"/>
      <c r="W209" s="15" t="str">
        <f t="shared" si="9"/>
        <v/>
      </c>
      <c r="X209" s="15" t="str">
        <f t="shared" si="10"/>
        <v/>
      </c>
      <c r="Y209" s="16" t="str">
        <f t="shared" ca="1" si="11"/>
        <v/>
      </c>
    </row>
    <row r="210" spans="3:25" x14ac:dyDescent="0.25">
      <c r="C210" s="17"/>
      <c r="G210" s="17"/>
      <c r="J210" s="17"/>
      <c r="M210" s="17"/>
      <c r="O210" s="17"/>
      <c r="Q210" s="17"/>
      <c r="T210" s="17"/>
      <c r="W210" s="15" t="str">
        <f t="shared" si="9"/>
        <v/>
      </c>
      <c r="X210" s="15" t="str">
        <f t="shared" si="10"/>
        <v/>
      </c>
      <c r="Y210" s="16" t="str">
        <f t="shared" ca="1" si="11"/>
        <v/>
      </c>
    </row>
    <row r="211" spans="3:25" x14ac:dyDescent="0.25">
      <c r="C211" s="17"/>
      <c r="G211" s="17"/>
      <c r="J211" s="17"/>
      <c r="M211" s="17"/>
      <c r="O211" s="17"/>
      <c r="Q211" s="17"/>
      <c r="T211" s="17"/>
      <c r="W211" s="15" t="str">
        <f t="shared" si="9"/>
        <v/>
      </c>
      <c r="X211" s="15" t="str">
        <f t="shared" si="10"/>
        <v/>
      </c>
      <c r="Y211" s="16" t="str">
        <f t="shared" ca="1" si="11"/>
        <v/>
      </c>
    </row>
    <row r="212" spans="3:25" x14ac:dyDescent="0.25">
      <c r="C212" s="17"/>
      <c r="G212" s="17"/>
      <c r="J212" s="17"/>
      <c r="M212" s="17"/>
      <c r="O212" s="17"/>
      <c r="Q212" s="17"/>
      <c r="T212" s="17"/>
      <c r="W212" s="15" t="str">
        <f t="shared" si="9"/>
        <v/>
      </c>
      <c r="X212" s="15" t="str">
        <f t="shared" si="10"/>
        <v/>
      </c>
      <c r="Y212" s="16" t="str">
        <f t="shared" ca="1" si="11"/>
        <v/>
      </c>
    </row>
    <row r="213" spans="3:25" x14ac:dyDescent="0.25">
      <c r="C213" s="17"/>
      <c r="G213" s="17"/>
      <c r="J213" s="17"/>
      <c r="M213" s="17"/>
      <c r="O213" s="17"/>
      <c r="Q213" s="17"/>
      <c r="T213" s="17"/>
      <c r="W213" s="15" t="str">
        <f t="shared" si="9"/>
        <v/>
      </c>
      <c r="X213" s="15" t="str">
        <f t="shared" si="10"/>
        <v/>
      </c>
      <c r="Y213" s="16" t="str">
        <f t="shared" ca="1" si="11"/>
        <v/>
      </c>
    </row>
    <row r="214" spans="3:25" x14ac:dyDescent="0.25">
      <c r="C214" s="17"/>
      <c r="G214" s="17"/>
      <c r="J214" s="17"/>
      <c r="M214" s="17"/>
      <c r="O214" s="17"/>
      <c r="Q214" s="17"/>
      <c r="T214" s="17"/>
      <c r="W214" s="15" t="str">
        <f t="shared" si="9"/>
        <v/>
      </c>
      <c r="X214" s="15" t="str">
        <f t="shared" si="10"/>
        <v/>
      </c>
      <c r="Y214" s="16" t="str">
        <f t="shared" ca="1" si="11"/>
        <v/>
      </c>
    </row>
    <row r="215" spans="3:25" x14ac:dyDescent="0.25">
      <c r="C215" s="17"/>
      <c r="G215" s="17"/>
      <c r="J215" s="17"/>
      <c r="M215" s="17"/>
      <c r="O215" s="17"/>
      <c r="Q215" s="17"/>
      <c r="T215" s="17"/>
      <c r="W215" s="15" t="str">
        <f t="shared" si="9"/>
        <v/>
      </c>
      <c r="X215" s="15" t="str">
        <f t="shared" si="10"/>
        <v/>
      </c>
      <c r="Y215" s="16" t="str">
        <f t="shared" ca="1" si="11"/>
        <v/>
      </c>
    </row>
    <row r="216" spans="3:25" x14ac:dyDescent="0.25">
      <c r="C216" s="17"/>
      <c r="G216" s="17"/>
      <c r="J216" s="17"/>
      <c r="M216" s="17"/>
      <c r="O216" s="17"/>
      <c r="Q216" s="17"/>
      <c r="T216" s="17"/>
      <c r="W216" s="15" t="str">
        <f t="shared" si="9"/>
        <v/>
      </c>
      <c r="X216" s="15" t="str">
        <f t="shared" si="10"/>
        <v/>
      </c>
      <c r="Y216" s="16" t="str">
        <f t="shared" ca="1" si="11"/>
        <v/>
      </c>
    </row>
    <row r="217" spans="3:25" x14ac:dyDescent="0.25">
      <c r="C217" s="17"/>
      <c r="G217" s="17"/>
      <c r="J217" s="17"/>
      <c r="M217" s="17"/>
      <c r="O217" s="17"/>
      <c r="Q217" s="17"/>
      <c r="T217" s="17"/>
      <c r="W217" s="15" t="str">
        <f t="shared" si="9"/>
        <v/>
      </c>
      <c r="X217" s="15" t="str">
        <f t="shared" si="10"/>
        <v/>
      </c>
      <c r="Y217" s="16" t="str">
        <f t="shared" ca="1" si="11"/>
        <v/>
      </c>
    </row>
    <row r="218" spans="3:25" x14ac:dyDescent="0.25">
      <c r="C218" s="17"/>
      <c r="G218" s="17"/>
      <c r="J218" s="17"/>
      <c r="M218" s="17"/>
      <c r="O218" s="17"/>
      <c r="Q218" s="17"/>
      <c r="T218" s="17"/>
      <c r="W218" s="15" t="str">
        <f t="shared" si="9"/>
        <v/>
      </c>
      <c r="X218" s="15" t="str">
        <f t="shared" si="10"/>
        <v/>
      </c>
      <c r="Y218" s="16" t="str">
        <f t="shared" ca="1" si="11"/>
        <v/>
      </c>
    </row>
    <row r="219" spans="3:25" x14ac:dyDescent="0.25">
      <c r="C219" s="17"/>
      <c r="G219" s="17"/>
      <c r="J219" s="17"/>
      <c r="M219" s="17"/>
      <c r="O219" s="17"/>
      <c r="Q219" s="17"/>
      <c r="T219" s="17"/>
      <c r="W219" s="15" t="str">
        <f t="shared" si="9"/>
        <v/>
      </c>
      <c r="X219" s="15" t="str">
        <f t="shared" si="10"/>
        <v/>
      </c>
      <c r="Y219" s="16" t="str">
        <f t="shared" ca="1" si="11"/>
        <v/>
      </c>
    </row>
    <row r="220" spans="3:25" x14ac:dyDescent="0.25">
      <c r="C220" s="17"/>
      <c r="G220" s="17"/>
      <c r="J220" s="17"/>
      <c r="M220" s="17"/>
      <c r="O220" s="17"/>
      <c r="Q220" s="17"/>
      <c r="T220" s="17"/>
      <c r="W220" s="15" t="str">
        <f t="shared" si="9"/>
        <v/>
      </c>
      <c r="X220" s="15" t="str">
        <f t="shared" si="10"/>
        <v/>
      </c>
      <c r="Y220" s="16" t="str">
        <f t="shared" ca="1" si="11"/>
        <v/>
      </c>
    </row>
    <row r="221" spans="3:25" x14ac:dyDescent="0.25">
      <c r="C221" s="17"/>
      <c r="G221" s="17"/>
      <c r="J221" s="17"/>
      <c r="M221" s="17"/>
      <c r="O221" s="17"/>
      <c r="Q221" s="17"/>
      <c r="T221" s="17"/>
      <c r="W221" s="15" t="str">
        <f t="shared" si="9"/>
        <v/>
      </c>
      <c r="X221" s="15" t="str">
        <f t="shared" si="10"/>
        <v/>
      </c>
      <c r="Y221" s="16" t="str">
        <f t="shared" ca="1" si="11"/>
        <v/>
      </c>
    </row>
    <row r="222" spans="3:25" x14ac:dyDescent="0.25">
      <c r="C222" s="17"/>
      <c r="G222" s="17"/>
      <c r="J222" s="17"/>
      <c r="M222" s="17"/>
      <c r="O222" s="17"/>
      <c r="Q222" s="17"/>
      <c r="T222" s="17"/>
      <c r="W222" s="15" t="str">
        <f t="shared" si="9"/>
        <v/>
      </c>
      <c r="X222" s="15" t="str">
        <f t="shared" si="10"/>
        <v/>
      </c>
      <c r="Y222" s="16" t="str">
        <f t="shared" ca="1" si="11"/>
        <v/>
      </c>
    </row>
    <row r="223" spans="3:25" x14ac:dyDescent="0.25">
      <c r="C223" s="17"/>
      <c r="G223" s="17"/>
      <c r="J223" s="17"/>
      <c r="M223" s="17"/>
      <c r="O223" s="17"/>
      <c r="Q223" s="17"/>
      <c r="T223" s="17"/>
      <c r="W223" s="15" t="str">
        <f t="shared" si="9"/>
        <v/>
      </c>
      <c r="X223" s="15" t="str">
        <f t="shared" si="10"/>
        <v/>
      </c>
      <c r="Y223" s="16" t="str">
        <f t="shared" ca="1" si="11"/>
        <v/>
      </c>
    </row>
    <row r="224" spans="3:25" x14ac:dyDescent="0.25">
      <c r="C224" s="17"/>
      <c r="G224" s="17"/>
      <c r="J224" s="17"/>
      <c r="M224" s="17"/>
      <c r="O224" s="17"/>
      <c r="Q224" s="17"/>
      <c r="T224" s="17"/>
      <c r="W224" s="15" t="str">
        <f t="shared" si="9"/>
        <v/>
      </c>
      <c r="X224" s="15" t="str">
        <f t="shared" si="10"/>
        <v/>
      </c>
      <c r="Y224" s="16" t="str">
        <f t="shared" ca="1" si="11"/>
        <v/>
      </c>
    </row>
    <row r="225" spans="3:25" x14ac:dyDescent="0.25">
      <c r="C225" s="17"/>
      <c r="G225" s="17"/>
      <c r="J225" s="17"/>
      <c r="M225" s="17"/>
      <c r="O225" s="17"/>
      <c r="Q225" s="17"/>
      <c r="T225" s="17"/>
      <c r="W225" s="15" t="str">
        <f t="shared" si="9"/>
        <v/>
      </c>
      <c r="X225" s="15" t="str">
        <f t="shared" si="10"/>
        <v/>
      </c>
      <c r="Y225" s="16" t="str">
        <f t="shared" ca="1" si="11"/>
        <v/>
      </c>
    </row>
    <row r="226" spans="3:25" x14ac:dyDescent="0.25">
      <c r="C226" s="17"/>
      <c r="G226" s="17"/>
      <c r="J226" s="17"/>
      <c r="M226" s="17"/>
      <c r="O226" s="17"/>
      <c r="Q226" s="17"/>
      <c r="T226" s="17"/>
      <c r="W226" s="15" t="str">
        <f t="shared" si="9"/>
        <v/>
      </c>
      <c r="X226" s="15" t="str">
        <f t="shared" si="10"/>
        <v/>
      </c>
      <c r="Y226" s="16" t="str">
        <f t="shared" ca="1" si="11"/>
        <v/>
      </c>
    </row>
    <row r="227" spans="3:25" x14ac:dyDescent="0.25">
      <c r="C227" s="17"/>
      <c r="G227" s="17"/>
      <c r="J227" s="17"/>
      <c r="M227" s="17"/>
      <c r="O227" s="17"/>
      <c r="Q227" s="17"/>
      <c r="T227" s="17"/>
      <c r="W227" s="15" t="str">
        <f t="shared" si="9"/>
        <v/>
      </c>
      <c r="X227" s="15" t="str">
        <f t="shared" si="10"/>
        <v/>
      </c>
      <c r="Y227" s="16" t="str">
        <f t="shared" ca="1" si="11"/>
        <v/>
      </c>
    </row>
    <row r="228" spans="3:25" x14ac:dyDescent="0.25">
      <c r="C228" s="17"/>
      <c r="G228" s="17"/>
      <c r="J228" s="17"/>
      <c r="M228" s="17"/>
      <c r="O228" s="17"/>
      <c r="Q228" s="17"/>
      <c r="T228" s="17"/>
      <c r="W228" s="15" t="str">
        <f t="shared" si="9"/>
        <v/>
      </c>
      <c r="X228" s="15" t="str">
        <f t="shared" si="10"/>
        <v/>
      </c>
      <c r="Y228" s="16" t="str">
        <f t="shared" ca="1" si="11"/>
        <v/>
      </c>
    </row>
    <row r="229" spans="3:25" x14ac:dyDescent="0.25">
      <c r="C229" s="17"/>
      <c r="G229" s="17"/>
      <c r="J229" s="17"/>
      <c r="M229" s="17"/>
      <c r="O229" s="17"/>
      <c r="Q229" s="17"/>
      <c r="T229" s="17"/>
      <c r="W229" s="15" t="str">
        <f t="shared" si="9"/>
        <v/>
      </c>
      <c r="X229" s="15" t="str">
        <f t="shared" si="10"/>
        <v/>
      </c>
      <c r="Y229" s="16" t="str">
        <f t="shared" ca="1" si="11"/>
        <v/>
      </c>
    </row>
    <row r="230" spans="3:25" x14ac:dyDescent="0.25">
      <c r="C230" s="17"/>
      <c r="G230" s="17"/>
      <c r="J230" s="17"/>
      <c r="M230" s="17"/>
      <c r="O230" s="17"/>
      <c r="Q230" s="17"/>
      <c r="T230" s="17"/>
      <c r="W230" s="15" t="str">
        <f t="shared" si="9"/>
        <v/>
      </c>
      <c r="X230" s="15" t="str">
        <f t="shared" si="10"/>
        <v/>
      </c>
      <c r="Y230" s="16" t="str">
        <f t="shared" ca="1" si="11"/>
        <v/>
      </c>
    </row>
    <row r="231" spans="3:25" x14ac:dyDescent="0.25">
      <c r="C231" s="17"/>
      <c r="G231" s="17"/>
      <c r="J231" s="17"/>
      <c r="M231" s="17"/>
      <c r="O231" s="17"/>
      <c r="Q231" s="17"/>
      <c r="T231" s="17"/>
      <c r="W231" s="15" t="str">
        <f t="shared" si="9"/>
        <v/>
      </c>
      <c r="X231" s="15" t="str">
        <f t="shared" si="10"/>
        <v/>
      </c>
      <c r="Y231" s="16" t="str">
        <f t="shared" ca="1" si="11"/>
        <v/>
      </c>
    </row>
    <row r="232" spans="3:25" x14ac:dyDescent="0.25">
      <c r="C232" s="17"/>
      <c r="G232" s="17"/>
      <c r="J232" s="17"/>
      <c r="M232" s="17"/>
      <c r="O232" s="17"/>
      <c r="Q232" s="17"/>
      <c r="T232" s="17"/>
      <c r="W232" s="15" t="str">
        <f t="shared" si="9"/>
        <v/>
      </c>
      <c r="X232" s="15" t="str">
        <f t="shared" si="10"/>
        <v/>
      </c>
      <c r="Y232" s="16" t="str">
        <f t="shared" ca="1" si="11"/>
        <v/>
      </c>
    </row>
    <row r="233" spans="3:25" x14ac:dyDescent="0.25">
      <c r="C233" s="17"/>
      <c r="G233" s="17"/>
      <c r="J233" s="17"/>
      <c r="M233" s="17"/>
      <c r="O233" s="17"/>
      <c r="Q233" s="17"/>
      <c r="T233" s="17"/>
      <c r="W233" s="15" t="str">
        <f t="shared" si="9"/>
        <v/>
      </c>
      <c r="X233" s="15" t="str">
        <f t="shared" si="10"/>
        <v/>
      </c>
      <c r="Y233" s="16" t="str">
        <f t="shared" ca="1" si="11"/>
        <v/>
      </c>
    </row>
    <row r="234" spans="3:25" x14ac:dyDescent="0.25">
      <c r="C234" s="17"/>
      <c r="G234" s="17"/>
      <c r="J234" s="17"/>
      <c r="M234" s="17"/>
      <c r="O234" s="17"/>
      <c r="Q234" s="17"/>
      <c r="T234" s="17"/>
      <c r="W234" s="15" t="str">
        <f t="shared" si="9"/>
        <v/>
      </c>
      <c r="X234" s="15" t="str">
        <f t="shared" si="10"/>
        <v/>
      </c>
      <c r="Y234" s="16" t="str">
        <f t="shared" ca="1" si="11"/>
        <v/>
      </c>
    </row>
    <row r="235" spans="3:25" x14ac:dyDescent="0.25">
      <c r="C235" s="17"/>
      <c r="G235" s="17"/>
      <c r="J235" s="17"/>
      <c r="M235" s="17"/>
      <c r="O235" s="17"/>
      <c r="Q235" s="17"/>
      <c r="T235" s="17"/>
      <c r="W235" s="15" t="str">
        <f t="shared" si="9"/>
        <v/>
      </c>
      <c r="X235" s="15" t="str">
        <f t="shared" si="10"/>
        <v/>
      </c>
      <c r="Y235" s="16" t="str">
        <f t="shared" ca="1" si="11"/>
        <v/>
      </c>
    </row>
    <row r="236" spans="3:25" x14ac:dyDescent="0.25">
      <c r="C236" s="17"/>
      <c r="G236" s="17"/>
      <c r="J236" s="17"/>
      <c r="M236" s="17"/>
      <c r="O236" s="17"/>
      <c r="Q236" s="17"/>
      <c r="T236" s="17"/>
      <c r="W236" s="15" t="str">
        <f t="shared" si="9"/>
        <v/>
      </c>
      <c r="X236" s="15" t="str">
        <f t="shared" si="10"/>
        <v/>
      </c>
      <c r="Y236" s="16" t="str">
        <f t="shared" ca="1" si="11"/>
        <v/>
      </c>
    </row>
    <row r="237" spans="3:25" x14ac:dyDescent="0.25">
      <c r="C237" s="17"/>
      <c r="G237" s="17"/>
      <c r="J237" s="17"/>
      <c r="M237" s="17"/>
      <c r="O237" s="17"/>
      <c r="Q237" s="17"/>
      <c r="T237" s="17"/>
      <c r="W237" s="15" t="str">
        <f t="shared" si="9"/>
        <v/>
      </c>
      <c r="X237" s="15" t="str">
        <f t="shared" si="10"/>
        <v/>
      </c>
      <c r="Y237" s="16" t="str">
        <f t="shared" ca="1" si="11"/>
        <v/>
      </c>
    </row>
    <row r="238" spans="3:25" x14ac:dyDescent="0.25">
      <c r="C238" s="17"/>
      <c r="G238" s="17"/>
      <c r="J238" s="17"/>
      <c r="M238" s="17"/>
      <c r="O238" s="17"/>
      <c r="Q238" s="17"/>
      <c r="T238" s="17"/>
      <c r="W238" s="15" t="str">
        <f t="shared" si="9"/>
        <v/>
      </c>
      <c r="X238" s="15" t="str">
        <f t="shared" si="10"/>
        <v/>
      </c>
      <c r="Y238" s="16" t="str">
        <f t="shared" ca="1" si="11"/>
        <v/>
      </c>
    </row>
    <row r="239" spans="3:25" x14ac:dyDescent="0.25">
      <c r="C239" s="17"/>
      <c r="G239" s="17"/>
      <c r="J239" s="17"/>
      <c r="M239" s="17"/>
      <c r="O239" s="17"/>
      <c r="Q239" s="17"/>
      <c r="T239" s="17"/>
      <c r="W239" s="15" t="str">
        <f t="shared" si="9"/>
        <v/>
      </c>
      <c r="X239" s="15" t="str">
        <f t="shared" si="10"/>
        <v/>
      </c>
      <c r="Y239" s="16" t="str">
        <f t="shared" ca="1" si="11"/>
        <v/>
      </c>
    </row>
    <row r="240" spans="3:25" x14ac:dyDescent="0.25">
      <c r="C240" s="17"/>
      <c r="G240" s="17"/>
      <c r="J240" s="17"/>
      <c r="M240" s="17"/>
      <c r="O240" s="17"/>
      <c r="Q240" s="17"/>
      <c r="T240" s="17"/>
      <c r="W240" s="15" t="str">
        <f t="shared" si="9"/>
        <v/>
      </c>
      <c r="X240" s="15" t="str">
        <f t="shared" si="10"/>
        <v/>
      </c>
      <c r="Y240" s="16" t="str">
        <f t="shared" ca="1" si="11"/>
        <v/>
      </c>
    </row>
    <row r="241" spans="3:25" x14ac:dyDescent="0.25">
      <c r="C241" s="17"/>
      <c r="G241" s="17"/>
      <c r="J241" s="17"/>
      <c r="M241" s="17"/>
      <c r="O241" s="17"/>
      <c r="Q241" s="17"/>
      <c r="T241" s="17"/>
      <c r="W241" s="15" t="str">
        <f t="shared" si="9"/>
        <v/>
      </c>
      <c r="X241" s="15" t="str">
        <f t="shared" si="10"/>
        <v/>
      </c>
      <c r="Y241" s="16" t="str">
        <f t="shared" ca="1" si="11"/>
        <v/>
      </c>
    </row>
    <row r="242" spans="3:25" x14ac:dyDescent="0.25">
      <c r="C242" s="17"/>
      <c r="G242" s="17"/>
      <c r="J242" s="17"/>
      <c r="M242" s="17"/>
      <c r="O242" s="17"/>
      <c r="Q242" s="17"/>
      <c r="T242" s="17"/>
      <c r="W242" s="15" t="str">
        <f t="shared" si="9"/>
        <v/>
      </c>
      <c r="X242" s="15" t="str">
        <f t="shared" si="10"/>
        <v/>
      </c>
      <c r="Y242" s="16" t="str">
        <f t="shared" ca="1" si="11"/>
        <v/>
      </c>
    </row>
    <row r="243" spans="3:25" x14ac:dyDescent="0.25">
      <c r="C243" s="17"/>
      <c r="G243" s="17"/>
      <c r="J243" s="17"/>
      <c r="M243" s="17"/>
      <c r="O243" s="17"/>
      <c r="Q243" s="17"/>
      <c r="T243" s="17"/>
      <c r="W243" s="15" t="str">
        <f t="shared" si="9"/>
        <v/>
      </c>
      <c r="X243" s="15" t="str">
        <f t="shared" si="10"/>
        <v/>
      </c>
      <c r="Y243" s="16" t="str">
        <f t="shared" ca="1" si="11"/>
        <v/>
      </c>
    </row>
    <row r="244" spans="3:25" x14ac:dyDescent="0.25">
      <c r="C244" s="17"/>
      <c r="G244" s="17"/>
      <c r="J244" s="17"/>
      <c r="M244" s="17"/>
      <c r="O244" s="17"/>
      <c r="Q244" s="17"/>
      <c r="T244" s="17"/>
      <c r="W244" s="15" t="str">
        <f t="shared" si="9"/>
        <v/>
      </c>
      <c r="X244" s="15" t="str">
        <f t="shared" si="10"/>
        <v/>
      </c>
      <c r="Y244" s="16" t="str">
        <f t="shared" ca="1" si="11"/>
        <v/>
      </c>
    </row>
    <row r="245" spans="3:25" x14ac:dyDescent="0.25">
      <c r="C245" s="17"/>
      <c r="G245" s="17"/>
      <c r="J245" s="17"/>
      <c r="M245" s="17"/>
      <c r="O245" s="17"/>
      <c r="Q245" s="17"/>
      <c r="T245" s="17"/>
      <c r="W245" s="15" t="str">
        <f t="shared" si="9"/>
        <v/>
      </c>
      <c r="X245" s="15" t="str">
        <f t="shared" si="10"/>
        <v/>
      </c>
      <c r="Y245" s="16" t="str">
        <f t="shared" ca="1" si="11"/>
        <v/>
      </c>
    </row>
    <row r="246" spans="3:25" x14ac:dyDescent="0.25">
      <c r="C246" s="17"/>
      <c r="G246" s="17"/>
      <c r="J246" s="17"/>
      <c r="M246" s="17"/>
      <c r="O246" s="17"/>
      <c r="Q246" s="17"/>
      <c r="T246" s="17"/>
      <c r="W246" s="15" t="str">
        <f t="shared" si="9"/>
        <v/>
      </c>
      <c r="X246" s="15" t="str">
        <f t="shared" si="10"/>
        <v/>
      </c>
      <c r="Y246" s="16" t="str">
        <f t="shared" ca="1" si="11"/>
        <v/>
      </c>
    </row>
    <row r="247" spans="3:25" x14ac:dyDescent="0.25">
      <c r="C247" s="17"/>
      <c r="G247" s="17"/>
      <c r="J247" s="17"/>
      <c r="M247" s="17"/>
      <c r="O247" s="17"/>
      <c r="Q247" s="17"/>
      <c r="T247" s="17"/>
      <c r="W247" s="15" t="str">
        <f t="shared" si="9"/>
        <v/>
      </c>
      <c r="X247" s="15" t="str">
        <f t="shared" si="10"/>
        <v/>
      </c>
      <c r="Y247" s="16" t="str">
        <f t="shared" ca="1" si="11"/>
        <v/>
      </c>
    </row>
    <row r="248" spans="3:25" x14ac:dyDescent="0.25">
      <c r="C248" s="17"/>
      <c r="G248" s="17"/>
      <c r="J248" s="17"/>
      <c r="M248" s="17"/>
      <c r="O248" s="17"/>
      <c r="Q248" s="17"/>
      <c r="T248" s="17"/>
      <c r="W248" s="15" t="str">
        <f t="shared" si="9"/>
        <v/>
      </c>
      <c r="X248" s="15" t="str">
        <f t="shared" si="10"/>
        <v/>
      </c>
      <c r="Y248" s="16" t="str">
        <f t="shared" ca="1" si="11"/>
        <v/>
      </c>
    </row>
    <row r="249" spans="3:25" x14ac:dyDescent="0.25">
      <c r="C249" s="17"/>
      <c r="G249" s="17"/>
      <c r="J249" s="17"/>
      <c r="M249" s="17"/>
      <c r="O249" s="17"/>
      <c r="Q249" s="17"/>
      <c r="T249" s="17"/>
      <c r="W249" s="15" t="str">
        <f t="shared" si="9"/>
        <v/>
      </c>
      <c r="X249" s="15" t="str">
        <f t="shared" si="10"/>
        <v/>
      </c>
      <c r="Y249" s="16" t="str">
        <f t="shared" ca="1" si="11"/>
        <v/>
      </c>
    </row>
    <row r="250" spans="3:25" x14ac:dyDescent="0.25">
      <c r="C250" s="17"/>
      <c r="G250" s="17"/>
      <c r="J250" s="17"/>
      <c r="M250" s="17"/>
      <c r="O250" s="17"/>
      <c r="Q250" s="17"/>
      <c r="T250" s="17"/>
      <c r="W250" s="15" t="str">
        <f t="shared" si="9"/>
        <v/>
      </c>
      <c r="X250" s="15" t="str">
        <f t="shared" si="10"/>
        <v/>
      </c>
      <c r="Y250" s="16" t="str">
        <f t="shared" ca="1" si="11"/>
        <v/>
      </c>
    </row>
    <row r="251" spans="3:25" x14ac:dyDescent="0.25">
      <c r="C251" s="17"/>
      <c r="G251" s="17"/>
      <c r="J251" s="17"/>
      <c r="M251" s="17"/>
      <c r="O251" s="17"/>
      <c r="Q251" s="17"/>
      <c r="T251" s="17"/>
      <c r="W251" s="15" t="str">
        <f t="shared" si="9"/>
        <v/>
      </c>
      <c r="X251" s="15" t="str">
        <f t="shared" si="10"/>
        <v/>
      </c>
      <c r="Y251" s="16" t="str">
        <f t="shared" ca="1" si="11"/>
        <v/>
      </c>
    </row>
    <row r="252" spans="3:25" x14ac:dyDescent="0.25">
      <c r="C252" s="17"/>
      <c r="G252" s="17"/>
      <c r="J252" s="17"/>
      <c r="M252" s="17"/>
      <c r="O252" s="17"/>
      <c r="Q252" s="17"/>
      <c r="T252" s="17"/>
      <c r="W252" s="15" t="str">
        <f t="shared" si="9"/>
        <v/>
      </c>
      <c r="X252" s="15" t="str">
        <f t="shared" si="10"/>
        <v/>
      </c>
      <c r="Y252" s="16" t="str">
        <f t="shared" ca="1" si="11"/>
        <v/>
      </c>
    </row>
    <row r="253" spans="3:25" x14ac:dyDescent="0.25">
      <c r="C253" s="17"/>
      <c r="G253" s="17"/>
      <c r="J253" s="17"/>
      <c r="M253" s="17"/>
      <c r="O253" s="17"/>
      <c r="Q253" s="17"/>
      <c r="T253" s="17"/>
      <c r="W253" s="15" t="str">
        <f t="shared" si="9"/>
        <v/>
      </c>
      <c r="X253" s="15" t="str">
        <f t="shared" si="10"/>
        <v/>
      </c>
      <c r="Y253" s="16" t="str">
        <f t="shared" ca="1" si="11"/>
        <v/>
      </c>
    </row>
    <row r="254" spans="3:25" x14ac:dyDescent="0.25">
      <c r="C254" s="17"/>
      <c r="G254" s="17"/>
      <c r="J254" s="17"/>
      <c r="M254" s="17"/>
      <c r="O254" s="17"/>
      <c r="Q254" s="17"/>
      <c r="T254" s="17"/>
      <c r="W254" s="15" t="str">
        <f t="shared" si="9"/>
        <v/>
      </c>
      <c r="X254" s="15" t="str">
        <f t="shared" si="10"/>
        <v/>
      </c>
      <c r="Y254" s="16" t="str">
        <f t="shared" ca="1" si="11"/>
        <v/>
      </c>
    </row>
    <row r="255" spans="3:25" x14ac:dyDescent="0.25">
      <c r="C255" s="17"/>
      <c r="G255" s="17"/>
      <c r="J255" s="17"/>
      <c r="M255" s="17"/>
      <c r="O255" s="17"/>
      <c r="Q255" s="17"/>
      <c r="T255" s="17"/>
      <c r="W255" s="15" t="str">
        <f t="shared" si="9"/>
        <v/>
      </c>
      <c r="X255" s="15" t="str">
        <f t="shared" si="10"/>
        <v/>
      </c>
      <c r="Y255" s="16" t="str">
        <f t="shared" ca="1" si="11"/>
        <v/>
      </c>
    </row>
    <row r="256" spans="3:25" x14ac:dyDescent="0.25">
      <c r="C256" s="17"/>
      <c r="G256" s="17"/>
      <c r="J256" s="17"/>
      <c r="M256" s="17"/>
      <c r="O256" s="17"/>
      <c r="Q256" s="17"/>
      <c r="T256" s="17"/>
      <c r="W256" s="15" t="str">
        <f t="shared" si="9"/>
        <v/>
      </c>
      <c r="X256" s="15" t="str">
        <f t="shared" si="10"/>
        <v/>
      </c>
      <c r="Y256" s="16" t="str">
        <f t="shared" ca="1" si="11"/>
        <v/>
      </c>
    </row>
    <row r="257" spans="3:25" x14ac:dyDescent="0.25">
      <c r="C257" s="17"/>
      <c r="G257" s="17"/>
      <c r="J257" s="17"/>
      <c r="M257" s="17"/>
      <c r="O257" s="17"/>
      <c r="Q257" s="17"/>
      <c r="T257" s="17"/>
      <c r="W257" s="15" t="str">
        <f t="shared" si="9"/>
        <v/>
      </c>
      <c r="X257" s="15" t="str">
        <f t="shared" si="10"/>
        <v/>
      </c>
      <c r="Y257" s="16" t="str">
        <f t="shared" ca="1" si="11"/>
        <v/>
      </c>
    </row>
    <row r="258" spans="3:25" x14ac:dyDescent="0.25">
      <c r="C258" s="17"/>
      <c r="G258" s="17"/>
      <c r="J258" s="17"/>
      <c r="M258" s="17"/>
      <c r="O258" s="17"/>
      <c r="Q258" s="17"/>
      <c r="T258" s="17"/>
      <c r="W258" s="15" t="str">
        <f t="shared" ref="W258:W321" si="12">IF($A258="","",IF($U258="Accepted","Hired",IF($S258="Yes","Offer",IF(OR($R258="In Progress",$R258="Completed"),"Reference",IF(OR($P258="Yes",$O258&lt;&gt;""),"Assessment",IF(OR($M258&lt;&gt;"",$L258&lt;&gt;"",$K258&lt;&gt;""),"Partner",IF(OR($J258&lt;&gt;"",$I258&lt;&gt;"",$H258&lt;&gt;""),"First Round",IF($F258="Yes","Screened","Contacted"))))))))</f>
        <v/>
      </c>
      <c r="X258" s="15" t="str">
        <f t="shared" ref="X258:X321" si="13">IF($A258="","",IF(OR($U258="Accepted",$U258="Declined",$H258="Rejected",$K258="Rejected"),"Closed","Active"))</f>
        <v/>
      </c>
      <c r="Y258" s="16" t="str">
        <f t="shared" ref="Y258:Y321" ca="1" si="14">IF($C258="","",TODAY()-$C258)</f>
        <v/>
      </c>
    </row>
    <row r="259" spans="3:25" x14ac:dyDescent="0.25">
      <c r="C259" s="17"/>
      <c r="G259" s="17"/>
      <c r="J259" s="17"/>
      <c r="M259" s="17"/>
      <c r="O259" s="17"/>
      <c r="Q259" s="17"/>
      <c r="T259" s="17"/>
      <c r="W259" s="15" t="str">
        <f t="shared" si="12"/>
        <v/>
      </c>
      <c r="X259" s="15" t="str">
        <f t="shared" si="13"/>
        <v/>
      </c>
      <c r="Y259" s="16" t="str">
        <f t="shared" ca="1" si="14"/>
        <v/>
      </c>
    </row>
    <row r="260" spans="3:25" x14ac:dyDescent="0.25">
      <c r="C260" s="17"/>
      <c r="G260" s="17"/>
      <c r="J260" s="17"/>
      <c r="M260" s="17"/>
      <c r="O260" s="17"/>
      <c r="Q260" s="17"/>
      <c r="T260" s="17"/>
      <c r="W260" s="15" t="str">
        <f t="shared" si="12"/>
        <v/>
      </c>
      <c r="X260" s="15" t="str">
        <f t="shared" si="13"/>
        <v/>
      </c>
      <c r="Y260" s="16" t="str">
        <f t="shared" ca="1" si="14"/>
        <v/>
      </c>
    </row>
    <row r="261" spans="3:25" x14ac:dyDescent="0.25">
      <c r="C261" s="17"/>
      <c r="G261" s="17"/>
      <c r="J261" s="17"/>
      <c r="M261" s="17"/>
      <c r="O261" s="17"/>
      <c r="Q261" s="17"/>
      <c r="T261" s="17"/>
      <c r="W261" s="15" t="str">
        <f t="shared" si="12"/>
        <v/>
      </c>
      <c r="X261" s="15" t="str">
        <f t="shared" si="13"/>
        <v/>
      </c>
      <c r="Y261" s="16" t="str">
        <f t="shared" ca="1" si="14"/>
        <v/>
      </c>
    </row>
    <row r="262" spans="3:25" x14ac:dyDescent="0.25">
      <c r="C262" s="17"/>
      <c r="G262" s="17"/>
      <c r="J262" s="17"/>
      <c r="M262" s="17"/>
      <c r="O262" s="17"/>
      <c r="Q262" s="17"/>
      <c r="T262" s="17"/>
      <c r="W262" s="15" t="str">
        <f t="shared" si="12"/>
        <v/>
      </c>
      <c r="X262" s="15" t="str">
        <f t="shared" si="13"/>
        <v/>
      </c>
      <c r="Y262" s="16" t="str">
        <f t="shared" ca="1" si="14"/>
        <v/>
      </c>
    </row>
    <row r="263" spans="3:25" x14ac:dyDescent="0.25">
      <c r="C263" s="17"/>
      <c r="G263" s="17"/>
      <c r="J263" s="17"/>
      <c r="M263" s="17"/>
      <c r="O263" s="17"/>
      <c r="Q263" s="17"/>
      <c r="T263" s="17"/>
      <c r="W263" s="15" t="str">
        <f t="shared" si="12"/>
        <v/>
      </c>
      <c r="X263" s="15" t="str">
        <f t="shared" si="13"/>
        <v/>
      </c>
      <c r="Y263" s="16" t="str">
        <f t="shared" ca="1" si="14"/>
        <v/>
      </c>
    </row>
    <row r="264" spans="3:25" x14ac:dyDescent="0.25">
      <c r="C264" s="17"/>
      <c r="G264" s="17"/>
      <c r="J264" s="17"/>
      <c r="M264" s="17"/>
      <c r="O264" s="17"/>
      <c r="Q264" s="17"/>
      <c r="T264" s="17"/>
      <c r="W264" s="15" t="str">
        <f t="shared" si="12"/>
        <v/>
      </c>
      <c r="X264" s="15" t="str">
        <f t="shared" si="13"/>
        <v/>
      </c>
      <c r="Y264" s="16" t="str">
        <f t="shared" ca="1" si="14"/>
        <v/>
      </c>
    </row>
    <row r="265" spans="3:25" x14ac:dyDescent="0.25">
      <c r="C265" s="17"/>
      <c r="G265" s="17"/>
      <c r="J265" s="17"/>
      <c r="M265" s="17"/>
      <c r="O265" s="17"/>
      <c r="Q265" s="17"/>
      <c r="T265" s="17"/>
      <c r="W265" s="15" t="str">
        <f t="shared" si="12"/>
        <v/>
      </c>
      <c r="X265" s="15" t="str">
        <f t="shared" si="13"/>
        <v/>
      </c>
      <c r="Y265" s="16" t="str">
        <f t="shared" ca="1" si="14"/>
        <v/>
      </c>
    </row>
    <row r="266" spans="3:25" x14ac:dyDescent="0.25">
      <c r="C266" s="17"/>
      <c r="G266" s="17"/>
      <c r="J266" s="17"/>
      <c r="M266" s="17"/>
      <c r="O266" s="17"/>
      <c r="Q266" s="17"/>
      <c r="T266" s="17"/>
      <c r="W266" s="15" t="str">
        <f t="shared" si="12"/>
        <v/>
      </c>
      <c r="X266" s="15" t="str">
        <f t="shared" si="13"/>
        <v/>
      </c>
      <c r="Y266" s="16" t="str">
        <f t="shared" ca="1" si="14"/>
        <v/>
      </c>
    </row>
    <row r="267" spans="3:25" x14ac:dyDescent="0.25">
      <c r="C267" s="17"/>
      <c r="G267" s="17"/>
      <c r="J267" s="17"/>
      <c r="M267" s="17"/>
      <c r="O267" s="17"/>
      <c r="Q267" s="17"/>
      <c r="T267" s="17"/>
      <c r="W267" s="15" t="str">
        <f t="shared" si="12"/>
        <v/>
      </c>
      <c r="X267" s="15" t="str">
        <f t="shared" si="13"/>
        <v/>
      </c>
      <c r="Y267" s="16" t="str">
        <f t="shared" ca="1" si="14"/>
        <v/>
      </c>
    </row>
    <row r="268" spans="3:25" x14ac:dyDescent="0.25">
      <c r="C268" s="17"/>
      <c r="G268" s="17"/>
      <c r="J268" s="17"/>
      <c r="M268" s="17"/>
      <c r="O268" s="17"/>
      <c r="Q268" s="17"/>
      <c r="T268" s="17"/>
      <c r="W268" s="15" t="str">
        <f t="shared" si="12"/>
        <v/>
      </c>
      <c r="X268" s="15" t="str">
        <f t="shared" si="13"/>
        <v/>
      </c>
      <c r="Y268" s="16" t="str">
        <f t="shared" ca="1" si="14"/>
        <v/>
      </c>
    </row>
    <row r="269" spans="3:25" x14ac:dyDescent="0.25">
      <c r="C269" s="17"/>
      <c r="G269" s="17"/>
      <c r="J269" s="17"/>
      <c r="M269" s="17"/>
      <c r="O269" s="17"/>
      <c r="Q269" s="17"/>
      <c r="T269" s="17"/>
      <c r="W269" s="15" t="str">
        <f t="shared" si="12"/>
        <v/>
      </c>
      <c r="X269" s="15" t="str">
        <f t="shared" si="13"/>
        <v/>
      </c>
      <c r="Y269" s="16" t="str">
        <f t="shared" ca="1" si="14"/>
        <v/>
      </c>
    </row>
    <row r="270" spans="3:25" x14ac:dyDescent="0.25">
      <c r="C270" s="17"/>
      <c r="G270" s="17"/>
      <c r="J270" s="17"/>
      <c r="M270" s="17"/>
      <c r="O270" s="17"/>
      <c r="Q270" s="17"/>
      <c r="T270" s="17"/>
      <c r="W270" s="15" t="str">
        <f t="shared" si="12"/>
        <v/>
      </c>
      <c r="X270" s="15" t="str">
        <f t="shared" si="13"/>
        <v/>
      </c>
      <c r="Y270" s="16" t="str">
        <f t="shared" ca="1" si="14"/>
        <v/>
      </c>
    </row>
    <row r="271" spans="3:25" x14ac:dyDescent="0.25">
      <c r="C271" s="17"/>
      <c r="G271" s="17"/>
      <c r="J271" s="17"/>
      <c r="M271" s="17"/>
      <c r="O271" s="17"/>
      <c r="Q271" s="17"/>
      <c r="T271" s="17"/>
      <c r="W271" s="15" t="str">
        <f t="shared" si="12"/>
        <v/>
      </c>
      <c r="X271" s="15" t="str">
        <f t="shared" si="13"/>
        <v/>
      </c>
      <c r="Y271" s="16" t="str">
        <f t="shared" ca="1" si="14"/>
        <v/>
      </c>
    </row>
    <row r="272" spans="3:25" x14ac:dyDescent="0.25">
      <c r="C272" s="17"/>
      <c r="G272" s="17"/>
      <c r="J272" s="17"/>
      <c r="M272" s="17"/>
      <c r="O272" s="17"/>
      <c r="Q272" s="17"/>
      <c r="T272" s="17"/>
      <c r="W272" s="15" t="str">
        <f t="shared" si="12"/>
        <v/>
      </c>
      <c r="X272" s="15" t="str">
        <f t="shared" si="13"/>
        <v/>
      </c>
      <c r="Y272" s="16" t="str">
        <f t="shared" ca="1" si="14"/>
        <v/>
      </c>
    </row>
    <row r="273" spans="3:25" x14ac:dyDescent="0.25">
      <c r="C273" s="17"/>
      <c r="G273" s="17"/>
      <c r="J273" s="17"/>
      <c r="M273" s="17"/>
      <c r="O273" s="17"/>
      <c r="Q273" s="17"/>
      <c r="T273" s="17"/>
      <c r="W273" s="15" t="str">
        <f t="shared" si="12"/>
        <v/>
      </c>
      <c r="X273" s="15" t="str">
        <f t="shared" si="13"/>
        <v/>
      </c>
      <c r="Y273" s="16" t="str">
        <f t="shared" ca="1" si="14"/>
        <v/>
      </c>
    </row>
    <row r="274" spans="3:25" x14ac:dyDescent="0.25">
      <c r="C274" s="17"/>
      <c r="G274" s="17"/>
      <c r="J274" s="17"/>
      <c r="M274" s="17"/>
      <c r="O274" s="17"/>
      <c r="Q274" s="17"/>
      <c r="T274" s="17"/>
      <c r="W274" s="15" t="str">
        <f t="shared" si="12"/>
        <v/>
      </c>
      <c r="X274" s="15" t="str">
        <f t="shared" si="13"/>
        <v/>
      </c>
      <c r="Y274" s="16" t="str">
        <f t="shared" ca="1" si="14"/>
        <v/>
      </c>
    </row>
    <row r="275" spans="3:25" x14ac:dyDescent="0.25">
      <c r="C275" s="17"/>
      <c r="G275" s="17"/>
      <c r="J275" s="17"/>
      <c r="M275" s="17"/>
      <c r="O275" s="17"/>
      <c r="Q275" s="17"/>
      <c r="T275" s="17"/>
      <c r="W275" s="15" t="str">
        <f t="shared" si="12"/>
        <v/>
      </c>
      <c r="X275" s="15" t="str">
        <f t="shared" si="13"/>
        <v/>
      </c>
      <c r="Y275" s="16" t="str">
        <f t="shared" ca="1" si="14"/>
        <v/>
      </c>
    </row>
    <row r="276" spans="3:25" x14ac:dyDescent="0.25">
      <c r="C276" s="17"/>
      <c r="G276" s="17"/>
      <c r="J276" s="17"/>
      <c r="M276" s="17"/>
      <c r="O276" s="17"/>
      <c r="Q276" s="17"/>
      <c r="T276" s="17"/>
      <c r="W276" s="15" t="str">
        <f t="shared" si="12"/>
        <v/>
      </c>
      <c r="X276" s="15" t="str">
        <f t="shared" si="13"/>
        <v/>
      </c>
      <c r="Y276" s="16" t="str">
        <f t="shared" ca="1" si="14"/>
        <v/>
      </c>
    </row>
    <row r="277" spans="3:25" x14ac:dyDescent="0.25">
      <c r="C277" s="17"/>
      <c r="G277" s="17"/>
      <c r="J277" s="17"/>
      <c r="M277" s="17"/>
      <c r="O277" s="17"/>
      <c r="Q277" s="17"/>
      <c r="T277" s="17"/>
      <c r="W277" s="15" t="str">
        <f t="shared" si="12"/>
        <v/>
      </c>
      <c r="X277" s="15" t="str">
        <f t="shared" si="13"/>
        <v/>
      </c>
      <c r="Y277" s="16" t="str">
        <f t="shared" ca="1" si="14"/>
        <v/>
      </c>
    </row>
    <row r="278" spans="3:25" x14ac:dyDescent="0.25">
      <c r="C278" s="17"/>
      <c r="G278" s="17"/>
      <c r="J278" s="17"/>
      <c r="M278" s="17"/>
      <c r="O278" s="17"/>
      <c r="Q278" s="17"/>
      <c r="T278" s="17"/>
      <c r="W278" s="15" t="str">
        <f t="shared" si="12"/>
        <v/>
      </c>
      <c r="X278" s="15" t="str">
        <f t="shared" si="13"/>
        <v/>
      </c>
      <c r="Y278" s="16" t="str">
        <f t="shared" ca="1" si="14"/>
        <v/>
      </c>
    </row>
    <row r="279" spans="3:25" x14ac:dyDescent="0.25">
      <c r="C279" s="17"/>
      <c r="G279" s="17"/>
      <c r="J279" s="17"/>
      <c r="M279" s="17"/>
      <c r="O279" s="17"/>
      <c r="Q279" s="17"/>
      <c r="T279" s="17"/>
      <c r="W279" s="15" t="str">
        <f t="shared" si="12"/>
        <v/>
      </c>
      <c r="X279" s="15" t="str">
        <f t="shared" si="13"/>
        <v/>
      </c>
      <c r="Y279" s="16" t="str">
        <f t="shared" ca="1" si="14"/>
        <v/>
      </c>
    </row>
    <row r="280" spans="3:25" x14ac:dyDescent="0.25">
      <c r="C280" s="17"/>
      <c r="G280" s="17"/>
      <c r="J280" s="17"/>
      <c r="M280" s="17"/>
      <c r="O280" s="17"/>
      <c r="Q280" s="17"/>
      <c r="T280" s="17"/>
      <c r="W280" s="15" t="str">
        <f t="shared" si="12"/>
        <v/>
      </c>
      <c r="X280" s="15" t="str">
        <f t="shared" si="13"/>
        <v/>
      </c>
      <c r="Y280" s="16" t="str">
        <f t="shared" ca="1" si="14"/>
        <v/>
      </c>
    </row>
    <row r="281" spans="3:25" x14ac:dyDescent="0.25">
      <c r="C281" s="17"/>
      <c r="G281" s="17"/>
      <c r="J281" s="17"/>
      <c r="M281" s="17"/>
      <c r="O281" s="17"/>
      <c r="Q281" s="17"/>
      <c r="T281" s="17"/>
      <c r="W281" s="15" t="str">
        <f t="shared" si="12"/>
        <v/>
      </c>
      <c r="X281" s="15" t="str">
        <f t="shared" si="13"/>
        <v/>
      </c>
      <c r="Y281" s="16" t="str">
        <f t="shared" ca="1" si="14"/>
        <v/>
      </c>
    </row>
    <row r="282" spans="3:25" x14ac:dyDescent="0.25">
      <c r="C282" s="17"/>
      <c r="G282" s="17"/>
      <c r="J282" s="17"/>
      <c r="M282" s="17"/>
      <c r="O282" s="17"/>
      <c r="Q282" s="17"/>
      <c r="T282" s="17"/>
      <c r="W282" s="15" t="str">
        <f t="shared" si="12"/>
        <v/>
      </c>
      <c r="X282" s="15" t="str">
        <f t="shared" si="13"/>
        <v/>
      </c>
      <c r="Y282" s="16" t="str">
        <f t="shared" ca="1" si="14"/>
        <v/>
      </c>
    </row>
    <row r="283" spans="3:25" x14ac:dyDescent="0.25">
      <c r="C283" s="17"/>
      <c r="G283" s="17"/>
      <c r="J283" s="17"/>
      <c r="M283" s="17"/>
      <c r="O283" s="17"/>
      <c r="Q283" s="17"/>
      <c r="T283" s="17"/>
      <c r="W283" s="15" t="str">
        <f t="shared" si="12"/>
        <v/>
      </c>
      <c r="X283" s="15" t="str">
        <f t="shared" si="13"/>
        <v/>
      </c>
      <c r="Y283" s="16" t="str">
        <f t="shared" ca="1" si="14"/>
        <v/>
      </c>
    </row>
    <row r="284" spans="3:25" x14ac:dyDescent="0.25">
      <c r="C284" s="17"/>
      <c r="G284" s="17"/>
      <c r="J284" s="17"/>
      <c r="M284" s="17"/>
      <c r="O284" s="17"/>
      <c r="Q284" s="17"/>
      <c r="T284" s="17"/>
      <c r="W284" s="15" t="str">
        <f t="shared" si="12"/>
        <v/>
      </c>
      <c r="X284" s="15" t="str">
        <f t="shared" si="13"/>
        <v/>
      </c>
      <c r="Y284" s="16" t="str">
        <f t="shared" ca="1" si="14"/>
        <v/>
      </c>
    </row>
    <row r="285" spans="3:25" x14ac:dyDescent="0.25">
      <c r="C285" s="17"/>
      <c r="G285" s="17"/>
      <c r="J285" s="17"/>
      <c r="M285" s="17"/>
      <c r="O285" s="17"/>
      <c r="Q285" s="17"/>
      <c r="T285" s="17"/>
      <c r="W285" s="15" t="str">
        <f t="shared" si="12"/>
        <v/>
      </c>
      <c r="X285" s="15" t="str">
        <f t="shared" si="13"/>
        <v/>
      </c>
      <c r="Y285" s="16" t="str">
        <f t="shared" ca="1" si="14"/>
        <v/>
      </c>
    </row>
    <row r="286" spans="3:25" x14ac:dyDescent="0.25">
      <c r="C286" s="17"/>
      <c r="G286" s="17"/>
      <c r="J286" s="17"/>
      <c r="M286" s="17"/>
      <c r="O286" s="17"/>
      <c r="Q286" s="17"/>
      <c r="T286" s="17"/>
      <c r="W286" s="15" t="str">
        <f t="shared" si="12"/>
        <v/>
      </c>
      <c r="X286" s="15" t="str">
        <f t="shared" si="13"/>
        <v/>
      </c>
      <c r="Y286" s="16" t="str">
        <f t="shared" ca="1" si="14"/>
        <v/>
      </c>
    </row>
    <row r="287" spans="3:25" x14ac:dyDescent="0.25">
      <c r="C287" s="17"/>
      <c r="G287" s="17"/>
      <c r="J287" s="17"/>
      <c r="M287" s="17"/>
      <c r="O287" s="17"/>
      <c r="Q287" s="17"/>
      <c r="T287" s="17"/>
      <c r="W287" s="15" t="str">
        <f t="shared" si="12"/>
        <v/>
      </c>
      <c r="X287" s="15" t="str">
        <f t="shared" si="13"/>
        <v/>
      </c>
      <c r="Y287" s="16" t="str">
        <f t="shared" ca="1" si="14"/>
        <v/>
      </c>
    </row>
    <row r="288" spans="3:25" x14ac:dyDescent="0.25">
      <c r="C288" s="17"/>
      <c r="G288" s="17"/>
      <c r="J288" s="17"/>
      <c r="M288" s="17"/>
      <c r="O288" s="17"/>
      <c r="Q288" s="17"/>
      <c r="T288" s="17"/>
      <c r="W288" s="15" t="str">
        <f t="shared" si="12"/>
        <v/>
      </c>
      <c r="X288" s="15" t="str">
        <f t="shared" si="13"/>
        <v/>
      </c>
      <c r="Y288" s="16" t="str">
        <f t="shared" ca="1" si="14"/>
        <v/>
      </c>
    </row>
    <row r="289" spans="3:25" x14ac:dyDescent="0.25">
      <c r="C289" s="17"/>
      <c r="G289" s="17"/>
      <c r="J289" s="17"/>
      <c r="M289" s="17"/>
      <c r="O289" s="17"/>
      <c r="Q289" s="17"/>
      <c r="T289" s="17"/>
      <c r="W289" s="15" t="str">
        <f t="shared" si="12"/>
        <v/>
      </c>
      <c r="X289" s="15" t="str">
        <f t="shared" si="13"/>
        <v/>
      </c>
      <c r="Y289" s="16" t="str">
        <f t="shared" ca="1" si="14"/>
        <v/>
      </c>
    </row>
    <row r="290" spans="3:25" x14ac:dyDescent="0.25">
      <c r="C290" s="17"/>
      <c r="G290" s="17"/>
      <c r="J290" s="17"/>
      <c r="M290" s="17"/>
      <c r="O290" s="17"/>
      <c r="Q290" s="17"/>
      <c r="T290" s="17"/>
      <c r="W290" s="15" t="str">
        <f t="shared" si="12"/>
        <v/>
      </c>
      <c r="X290" s="15" t="str">
        <f t="shared" si="13"/>
        <v/>
      </c>
      <c r="Y290" s="16" t="str">
        <f t="shared" ca="1" si="14"/>
        <v/>
      </c>
    </row>
    <row r="291" spans="3:25" x14ac:dyDescent="0.25">
      <c r="C291" s="17"/>
      <c r="G291" s="17"/>
      <c r="J291" s="17"/>
      <c r="M291" s="17"/>
      <c r="O291" s="17"/>
      <c r="Q291" s="17"/>
      <c r="T291" s="17"/>
      <c r="W291" s="15" t="str">
        <f t="shared" si="12"/>
        <v/>
      </c>
      <c r="X291" s="15" t="str">
        <f t="shared" si="13"/>
        <v/>
      </c>
      <c r="Y291" s="16" t="str">
        <f t="shared" ca="1" si="14"/>
        <v/>
      </c>
    </row>
    <row r="292" spans="3:25" x14ac:dyDescent="0.25">
      <c r="C292" s="17"/>
      <c r="G292" s="17"/>
      <c r="J292" s="17"/>
      <c r="M292" s="17"/>
      <c r="O292" s="17"/>
      <c r="Q292" s="17"/>
      <c r="T292" s="17"/>
      <c r="W292" s="15" t="str">
        <f t="shared" si="12"/>
        <v/>
      </c>
      <c r="X292" s="15" t="str">
        <f t="shared" si="13"/>
        <v/>
      </c>
      <c r="Y292" s="16" t="str">
        <f t="shared" ca="1" si="14"/>
        <v/>
      </c>
    </row>
    <row r="293" spans="3:25" x14ac:dyDescent="0.25">
      <c r="C293" s="17"/>
      <c r="G293" s="17"/>
      <c r="J293" s="17"/>
      <c r="M293" s="17"/>
      <c r="O293" s="17"/>
      <c r="Q293" s="17"/>
      <c r="T293" s="17"/>
      <c r="W293" s="15" t="str">
        <f t="shared" si="12"/>
        <v/>
      </c>
      <c r="X293" s="15" t="str">
        <f t="shared" si="13"/>
        <v/>
      </c>
      <c r="Y293" s="16" t="str">
        <f t="shared" ca="1" si="14"/>
        <v/>
      </c>
    </row>
    <row r="294" spans="3:25" x14ac:dyDescent="0.25">
      <c r="C294" s="17"/>
      <c r="G294" s="17"/>
      <c r="J294" s="17"/>
      <c r="M294" s="17"/>
      <c r="O294" s="17"/>
      <c r="Q294" s="17"/>
      <c r="T294" s="17"/>
      <c r="W294" s="15" t="str">
        <f t="shared" si="12"/>
        <v/>
      </c>
      <c r="X294" s="15" t="str">
        <f t="shared" si="13"/>
        <v/>
      </c>
      <c r="Y294" s="16" t="str">
        <f t="shared" ca="1" si="14"/>
        <v/>
      </c>
    </row>
    <row r="295" spans="3:25" x14ac:dyDescent="0.25">
      <c r="C295" s="17"/>
      <c r="G295" s="17"/>
      <c r="J295" s="17"/>
      <c r="M295" s="17"/>
      <c r="O295" s="17"/>
      <c r="Q295" s="17"/>
      <c r="T295" s="17"/>
      <c r="W295" s="15" t="str">
        <f t="shared" si="12"/>
        <v/>
      </c>
      <c r="X295" s="15" t="str">
        <f t="shared" si="13"/>
        <v/>
      </c>
      <c r="Y295" s="16" t="str">
        <f t="shared" ca="1" si="14"/>
        <v/>
      </c>
    </row>
    <row r="296" spans="3:25" x14ac:dyDescent="0.25">
      <c r="C296" s="17"/>
      <c r="G296" s="17"/>
      <c r="J296" s="17"/>
      <c r="M296" s="17"/>
      <c r="O296" s="17"/>
      <c r="Q296" s="17"/>
      <c r="T296" s="17"/>
      <c r="W296" s="15" t="str">
        <f t="shared" si="12"/>
        <v/>
      </c>
      <c r="X296" s="15" t="str">
        <f t="shared" si="13"/>
        <v/>
      </c>
      <c r="Y296" s="16" t="str">
        <f t="shared" ca="1" si="14"/>
        <v/>
      </c>
    </row>
    <row r="297" spans="3:25" x14ac:dyDescent="0.25">
      <c r="C297" s="17"/>
      <c r="G297" s="17"/>
      <c r="J297" s="17"/>
      <c r="M297" s="17"/>
      <c r="O297" s="17"/>
      <c r="Q297" s="17"/>
      <c r="T297" s="17"/>
      <c r="W297" s="15" t="str">
        <f t="shared" si="12"/>
        <v/>
      </c>
      <c r="X297" s="15" t="str">
        <f t="shared" si="13"/>
        <v/>
      </c>
      <c r="Y297" s="16" t="str">
        <f t="shared" ca="1" si="14"/>
        <v/>
      </c>
    </row>
    <row r="298" spans="3:25" x14ac:dyDescent="0.25">
      <c r="C298" s="17"/>
      <c r="G298" s="17"/>
      <c r="J298" s="17"/>
      <c r="M298" s="17"/>
      <c r="O298" s="17"/>
      <c r="Q298" s="17"/>
      <c r="T298" s="17"/>
      <c r="W298" s="15" t="str">
        <f t="shared" si="12"/>
        <v/>
      </c>
      <c r="X298" s="15" t="str">
        <f t="shared" si="13"/>
        <v/>
      </c>
      <c r="Y298" s="16" t="str">
        <f t="shared" ca="1" si="14"/>
        <v/>
      </c>
    </row>
    <row r="299" spans="3:25" x14ac:dyDescent="0.25">
      <c r="C299" s="17"/>
      <c r="G299" s="17"/>
      <c r="J299" s="17"/>
      <c r="M299" s="17"/>
      <c r="O299" s="17"/>
      <c r="Q299" s="17"/>
      <c r="T299" s="17"/>
      <c r="W299" s="15" t="str">
        <f t="shared" si="12"/>
        <v/>
      </c>
      <c r="X299" s="15" t="str">
        <f t="shared" si="13"/>
        <v/>
      </c>
      <c r="Y299" s="16" t="str">
        <f t="shared" ca="1" si="14"/>
        <v/>
      </c>
    </row>
    <row r="300" spans="3:25" x14ac:dyDescent="0.25">
      <c r="C300" s="17"/>
      <c r="G300" s="17"/>
      <c r="J300" s="17"/>
      <c r="M300" s="17"/>
      <c r="O300" s="17"/>
      <c r="Q300" s="17"/>
      <c r="T300" s="17"/>
      <c r="W300" s="15" t="str">
        <f t="shared" si="12"/>
        <v/>
      </c>
      <c r="X300" s="15" t="str">
        <f t="shared" si="13"/>
        <v/>
      </c>
      <c r="Y300" s="16" t="str">
        <f t="shared" ca="1" si="14"/>
        <v/>
      </c>
    </row>
    <row r="301" spans="3:25" x14ac:dyDescent="0.25">
      <c r="C301" s="17"/>
      <c r="G301" s="17"/>
      <c r="J301" s="17"/>
      <c r="M301" s="17"/>
      <c r="O301" s="17"/>
      <c r="Q301" s="17"/>
      <c r="T301" s="17"/>
      <c r="W301" s="15" t="str">
        <f t="shared" si="12"/>
        <v/>
      </c>
      <c r="X301" s="15" t="str">
        <f t="shared" si="13"/>
        <v/>
      </c>
      <c r="Y301" s="16" t="str">
        <f t="shared" ca="1" si="14"/>
        <v/>
      </c>
    </row>
    <row r="302" spans="3:25" x14ac:dyDescent="0.25">
      <c r="C302" s="17"/>
      <c r="G302" s="17"/>
      <c r="J302" s="17"/>
      <c r="M302" s="17"/>
      <c r="O302" s="17"/>
      <c r="Q302" s="17"/>
      <c r="T302" s="17"/>
      <c r="W302" s="15" t="str">
        <f t="shared" si="12"/>
        <v/>
      </c>
      <c r="X302" s="15" t="str">
        <f t="shared" si="13"/>
        <v/>
      </c>
      <c r="Y302" s="16" t="str">
        <f t="shared" ca="1" si="14"/>
        <v/>
      </c>
    </row>
    <row r="303" spans="3:25" x14ac:dyDescent="0.25">
      <c r="C303" s="17"/>
      <c r="G303" s="17"/>
      <c r="J303" s="17"/>
      <c r="M303" s="17"/>
      <c r="O303" s="17"/>
      <c r="Q303" s="17"/>
      <c r="T303" s="17"/>
      <c r="W303" s="15" t="str">
        <f t="shared" si="12"/>
        <v/>
      </c>
      <c r="X303" s="15" t="str">
        <f t="shared" si="13"/>
        <v/>
      </c>
      <c r="Y303" s="16" t="str">
        <f t="shared" ca="1" si="14"/>
        <v/>
      </c>
    </row>
    <row r="304" spans="3:25" x14ac:dyDescent="0.25">
      <c r="C304" s="17"/>
      <c r="G304" s="17"/>
      <c r="J304" s="17"/>
      <c r="M304" s="17"/>
      <c r="O304" s="17"/>
      <c r="Q304" s="17"/>
      <c r="T304" s="17"/>
      <c r="W304" s="15" t="str">
        <f t="shared" si="12"/>
        <v/>
      </c>
      <c r="X304" s="15" t="str">
        <f t="shared" si="13"/>
        <v/>
      </c>
      <c r="Y304" s="16" t="str">
        <f t="shared" ca="1" si="14"/>
        <v/>
      </c>
    </row>
    <row r="305" spans="3:25" x14ac:dyDescent="0.25">
      <c r="C305" s="17"/>
      <c r="G305" s="17"/>
      <c r="J305" s="17"/>
      <c r="M305" s="17"/>
      <c r="O305" s="17"/>
      <c r="Q305" s="17"/>
      <c r="T305" s="17"/>
      <c r="W305" s="15" t="str">
        <f t="shared" si="12"/>
        <v/>
      </c>
      <c r="X305" s="15" t="str">
        <f t="shared" si="13"/>
        <v/>
      </c>
      <c r="Y305" s="16" t="str">
        <f t="shared" ca="1" si="14"/>
        <v/>
      </c>
    </row>
    <row r="306" spans="3:25" x14ac:dyDescent="0.25">
      <c r="C306" s="17"/>
      <c r="G306" s="17"/>
      <c r="J306" s="17"/>
      <c r="M306" s="17"/>
      <c r="O306" s="17"/>
      <c r="Q306" s="17"/>
      <c r="T306" s="17"/>
      <c r="W306" s="15" t="str">
        <f t="shared" si="12"/>
        <v/>
      </c>
      <c r="X306" s="15" t="str">
        <f t="shared" si="13"/>
        <v/>
      </c>
      <c r="Y306" s="16" t="str">
        <f t="shared" ca="1" si="14"/>
        <v/>
      </c>
    </row>
    <row r="307" spans="3:25" x14ac:dyDescent="0.25">
      <c r="C307" s="17"/>
      <c r="G307" s="17"/>
      <c r="J307" s="17"/>
      <c r="M307" s="17"/>
      <c r="O307" s="17"/>
      <c r="Q307" s="17"/>
      <c r="T307" s="17"/>
      <c r="W307" s="15" t="str">
        <f t="shared" si="12"/>
        <v/>
      </c>
      <c r="X307" s="15" t="str">
        <f t="shared" si="13"/>
        <v/>
      </c>
      <c r="Y307" s="16" t="str">
        <f t="shared" ca="1" si="14"/>
        <v/>
      </c>
    </row>
    <row r="308" spans="3:25" x14ac:dyDescent="0.25">
      <c r="C308" s="17"/>
      <c r="G308" s="17"/>
      <c r="J308" s="17"/>
      <c r="M308" s="17"/>
      <c r="O308" s="17"/>
      <c r="Q308" s="17"/>
      <c r="T308" s="17"/>
      <c r="W308" s="15" t="str">
        <f t="shared" si="12"/>
        <v/>
      </c>
      <c r="X308" s="15" t="str">
        <f t="shared" si="13"/>
        <v/>
      </c>
      <c r="Y308" s="16" t="str">
        <f t="shared" ca="1" si="14"/>
        <v/>
      </c>
    </row>
    <row r="309" spans="3:25" x14ac:dyDescent="0.25">
      <c r="C309" s="17"/>
      <c r="G309" s="17"/>
      <c r="J309" s="17"/>
      <c r="M309" s="17"/>
      <c r="O309" s="17"/>
      <c r="Q309" s="17"/>
      <c r="T309" s="17"/>
      <c r="W309" s="15" t="str">
        <f t="shared" si="12"/>
        <v/>
      </c>
      <c r="X309" s="15" t="str">
        <f t="shared" si="13"/>
        <v/>
      </c>
      <c r="Y309" s="16" t="str">
        <f t="shared" ca="1" si="14"/>
        <v/>
      </c>
    </row>
    <row r="310" spans="3:25" x14ac:dyDescent="0.25">
      <c r="C310" s="17"/>
      <c r="G310" s="17"/>
      <c r="J310" s="17"/>
      <c r="M310" s="17"/>
      <c r="O310" s="17"/>
      <c r="Q310" s="17"/>
      <c r="T310" s="17"/>
      <c r="W310" s="15" t="str">
        <f t="shared" si="12"/>
        <v/>
      </c>
      <c r="X310" s="15" t="str">
        <f t="shared" si="13"/>
        <v/>
      </c>
      <c r="Y310" s="16" t="str">
        <f t="shared" ca="1" si="14"/>
        <v/>
      </c>
    </row>
    <row r="311" spans="3:25" x14ac:dyDescent="0.25">
      <c r="C311" s="17"/>
      <c r="G311" s="17"/>
      <c r="J311" s="17"/>
      <c r="M311" s="17"/>
      <c r="O311" s="17"/>
      <c r="Q311" s="17"/>
      <c r="T311" s="17"/>
      <c r="W311" s="15" t="str">
        <f t="shared" si="12"/>
        <v/>
      </c>
      <c r="X311" s="15" t="str">
        <f t="shared" si="13"/>
        <v/>
      </c>
      <c r="Y311" s="16" t="str">
        <f t="shared" ca="1" si="14"/>
        <v/>
      </c>
    </row>
    <row r="312" spans="3:25" x14ac:dyDescent="0.25">
      <c r="C312" s="17"/>
      <c r="G312" s="17"/>
      <c r="J312" s="17"/>
      <c r="M312" s="17"/>
      <c r="O312" s="17"/>
      <c r="Q312" s="17"/>
      <c r="T312" s="17"/>
      <c r="W312" s="15" t="str">
        <f t="shared" si="12"/>
        <v/>
      </c>
      <c r="X312" s="15" t="str">
        <f t="shared" si="13"/>
        <v/>
      </c>
      <c r="Y312" s="16" t="str">
        <f t="shared" ca="1" si="14"/>
        <v/>
      </c>
    </row>
    <row r="313" spans="3:25" x14ac:dyDescent="0.25">
      <c r="C313" s="17"/>
      <c r="G313" s="17"/>
      <c r="J313" s="17"/>
      <c r="M313" s="17"/>
      <c r="O313" s="17"/>
      <c r="Q313" s="17"/>
      <c r="T313" s="17"/>
      <c r="W313" s="15" t="str">
        <f t="shared" si="12"/>
        <v/>
      </c>
      <c r="X313" s="15" t="str">
        <f t="shared" si="13"/>
        <v/>
      </c>
      <c r="Y313" s="16" t="str">
        <f t="shared" ca="1" si="14"/>
        <v/>
      </c>
    </row>
    <row r="314" spans="3:25" x14ac:dyDescent="0.25">
      <c r="C314" s="17"/>
      <c r="G314" s="17"/>
      <c r="J314" s="17"/>
      <c r="M314" s="17"/>
      <c r="O314" s="17"/>
      <c r="Q314" s="17"/>
      <c r="T314" s="17"/>
      <c r="W314" s="15" t="str">
        <f t="shared" si="12"/>
        <v/>
      </c>
      <c r="X314" s="15" t="str">
        <f t="shared" si="13"/>
        <v/>
      </c>
      <c r="Y314" s="16" t="str">
        <f t="shared" ca="1" si="14"/>
        <v/>
      </c>
    </row>
    <row r="315" spans="3:25" x14ac:dyDescent="0.25">
      <c r="C315" s="17"/>
      <c r="G315" s="17"/>
      <c r="J315" s="17"/>
      <c r="M315" s="17"/>
      <c r="O315" s="17"/>
      <c r="Q315" s="17"/>
      <c r="T315" s="17"/>
      <c r="W315" s="15" t="str">
        <f t="shared" si="12"/>
        <v/>
      </c>
      <c r="X315" s="15" t="str">
        <f t="shared" si="13"/>
        <v/>
      </c>
      <c r="Y315" s="16" t="str">
        <f t="shared" ca="1" si="14"/>
        <v/>
      </c>
    </row>
    <row r="316" spans="3:25" x14ac:dyDescent="0.25">
      <c r="C316" s="17"/>
      <c r="G316" s="17"/>
      <c r="J316" s="17"/>
      <c r="M316" s="17"/>
      <c r="O316" s="17"/>
      <c r="Q316" s="17"/>
      <c r="T316" s="17"/>
      <c r="W316" s="15" t="str">
        <f t="shared" si="12"/>
        <v/>
      </c>
      <c r="X316" s="15" t="str">
        <f t="shared" si="13"/>
        <v/>
      </c>
      <c r="Y316" s="16" t="str">
        <f t="shared" ca="1" si="14"/>
        <v/>
      </c>
    </row>
    <row r="317" spans="3:25" x14ac:dyDescent="0.25">
      <c r="C317" s="17"/>
      <c r="G317" s="17"/>
      <c r="J317" s="17"/>
      <c r="M317" s="17"/>
      <c r="O317" s="17"/>
      <c r="Q317" s="17"/>
      <c r="T317" s="17"/>
      <c r="W317" s="15" t="str">
        <f t="shared" si="12"/>
        <v/>
      </c>
      <c r="X317" s="15" t="str">
        <f t="shared" si="13"/>
        <v/>
      </c>
      <c r="Y317" s="16" t="str">
        <f t="shared" ca="1" si="14"/>
        <v/>
      </c>
    </row>
    <row r="318" spans="3:25" x14ac:dyDescent="0.25">
      <c r="C318" s="17"/>
      <c r="G318" s="17"/>
      <c r="J318" s="17"/>
      <c r="M318" s="17"/>
      <c r="O318" s="17"/>
      <c r="Q318" s="17"/>
      <c r="T318" s="17"/>
      <c r="W318" s="15" t="str">
        <f t="shared" si="12"/>
        <v/>
      </c>
      <c r="X318" s="15" t="str">
        <f t="shared" si="13"/>
        <v/>
      </c>
      <c r="Y318" s="16" t="str">
        <f t="shared" ca="1" si="14"/>
        <v/>
      </c>
    </row>
    <row r="319" spans="3:25" x14ac:dyDescent="0.25">
      <c r="C319" s="17"/>
      <c r="G319" s="17"/>
      <c r="J319" s="17"/>
      <c r="M319" s="17"/>
      <c r="O319" s="17"/>
      <c r="Q319" s="17"/>
      <c r="T319" s="17"/>
      <c r="W319" s="15" t="str">
        <f t="shared" si="12"/>
        <v/>
      </c>
      <c r="X319" s="15" t="str">
        <f t="shared" si="13"/>
        <v/>
      </c>
      <c r="Y319" s="16" t="str">
        <f t="shared" ca="1" si="14"/>
        <v/>
      </c>
    </row>
    <row r="320" spans="3:25" x14ac:dyDescent="0.25">
      <c r="C320" s="17"/>
      <c r="G320" s="17"/>
      <c r="J320" s="17"/>
      <c r="M320" s="17"/>
      <c r="O320" s="17"/>
      <c r="Q320" s="17"/>
      <c r="T320" s="17"/>
      <c r="W320" s="15" t="str">
        <f t="shared" si="12"/>
        <v/>
      </c>
      <c r="X320" s="15" t="str">
        <f t="shared" si="13"/>
        <v/>
      </c>
      <c r="Y320" s="16" t="str">
        <f t="shared" ca="1" si="14"/>
        <v/>
      </c>
    </row>
    <row r="321" spans="3:25" x14ac:dyDescent="0.25">
      <c r="C321" s="17"/>
      <c r="G321" s="17"/>
      <c r="J321" s="17"/>
      <c r="M321" s="17"/>
      <c r="O321" s="17"/>
      <c r="Q321" s="17"/>
      <c r="T321" s="17"/>
      <c r="W321" s="15" t="str">
        <f t="shared" si="12"/>
        <v/>
      </c>
      <c r="X321" s="15" t="str">
        <f t="shared" si="13"/>
        <v/>
      </c>
      <c r="Y321" s="16" t="str">
        <f t="shared" ca="1" si="14"/>
        <v/>
      </c>
    </row>
    <row r="322" spans="3:25" x14ac:dyDescent="0.25">
      <c r="C322" s="17"/>
      <c r="G322" s="17"/>
      <c r="J322" s="17"/>
      <c r="M322" s="17"/>
      <c r="O322" s="17"/>
      <c r="Q322" s="17"/>
      <c r="T322" s="17"/>
      <c r="W322" s="15" t="str">
        <f t="shared" ref="W322:W385" si="15">IF($A322="","",IF($U322="Accepted","Hired",IF($S322="Yes","Offer",IF(OR($R322="In Progress",$R322="Completed"),"Reference",IF(OR($P322="Yes",$O322&lt;&gt;""),"Assessment",IF(OR($M322&lt;&gt;"",$L322&lt;&gt;"",$K322&lt;&gt;""),"Partner",IF(OR($J322&lt;&gt;"",$I322&lt;&gt;"",$H322&lt;&gt;""),"First Round",IF($F322="Yes","Screened","Contacted"))))))))</f>
        <v/>
      </c>
      <c r="X322" s="15" t="str">
        <f t="shared" ref="X322:X385" si="16">IF($A322="","",IF(OR($U322="Accepted",$U322="Declined",$H322="Rejected",$K322="Rejected"),"Closed","Active"))</f>
        <v/>
      </c>
      <c r="Y322" s="16" t="str">
        <f t="shared" ref="Y322:Y385" ca="1" si="17">IF($C322="","",TODAY()-$C322)</f>
        <v/>
      </c>
    </row>
    <row r="323" spans="3:25" x14ac:dyDescent="0.25">
      <c r="C323" s="17"/>
      <c r="G323" s="17"/>
      <c r="J323" s="17"/>
      <c r="M323" s="17"/>
      <c r="O323" s="17"/>
      <c r="Q323" s="17"/>
      <c r="T323" s="17"/>
      <c r="W323" s="15" t="str">
        <f t="shared" si="15"/>
        <v/>
      </c>
      <c r="X323" s="15" t="str">
        <f t="shared" si="16"/>
        <v/>
      </c>
      <c r="Y323" s="16" t="str">
        <f t="shared" ca="1" si="17"/>
        <v/>
      </c>
    </row>
    <row r="324" spans="3:25" x14ac:dyDescent="0.25">
      <c r="C324" s="17"/>
      <c r="G324" s="17"/>
      <c r="J324" s="17"/>
      <c r="M324" s="17"/>
      <c r="O324" s="17"/>
      <c r="Q324" s="17"/>
      <c r="T324" s="17"/>
      <c r="W324" s="15" t="str">
        <f t="shared" si="15"/>
        <v/>
      </c>
      <c r="X324" s="15" t="str">
        <f t="shared" si="16"/>
        <v/>
      </c>
      <c r="Y324" s="16" t="str">
        <f t="shared" ca="1" si="17"/>
        <v/>
      </c>
    </row>
    <row r="325" spans="3:25" x14ac:dyDescent="0.25">
      <c r="C325" s="17"/>
      <c r="G325" s="17"/>
      <c r="J325" s="17"/>
      <c r="M325" s="17"/>
      <c r="O325" s="17"/>
      <c r="Q325" s="17"/>
      <c r="T325" s="17"/>
      <c r="W325" s="15" t="str">
        <f t="shared" si="15"/>
        <v/>
      </c>
      <c r="X325" s="15" t="str">
        <f t="shared" si="16"/>
        <v/>
      </c>
      <c r="Y325" s="16" t="str">
        <f t="shared" ca="1" si="17"/>
        <v/>
      </c>
    </row>
    <row r="326" spans="3:25" x14ac:dyDescent="0.25">
      <c r="C326" s="17"/>
      <c r="G326" s="17"/>
      <c r="J326" s="17"/>
      <c r="M326" s="17"/>
      <c r="O326" s="17"/>
      <c r="Q326" s="17"/>
      <c r="T326" s="17"/>
      <c r="W326" s="15" t="str">
        <f t="shared" si="15"/>
        <v/>
      </c>
      <c r="X326" s="15" t="str">
        <f t="shared" si="16"/>
        <v/>
      </c>
      <c r="Y326" s="16" t="str">
        <f t="shared" ca="1" si="17"/>
        <v/>
      </c>
    </row>
    <row r="327" spans="3:25" x14ac:dyDescent="0.25">
      <c r="C327" s="17"/>
      <c r="G327" s="17"/>
      <c r="J327" s="17"/>
      <c r="M327" s="17"/>
      <c r="O327" s="17"/>
      <c r="Q327" s="17"/>
      <c r="T327" s="17"/>
      <c r="W327" s="15" t="str">
        <f t="shared" si="15"/>
        <v/>
      </c>
      <c r="X327" s="15" t="str">
        <f t="shared" si="16"/>
        <v/>
      </c>
      <c r="Y327" s="16" t="str">
        <f t="shared" ca="1" si="17"/>
        <v/>
      </c>
    </row>
    <row r="328" spans="3:25" x14ac:dyDescent="0.25">
      <c r="C328" s="17"/>
      <c r="G328" s="17"/>
      <c r="J328" s="17"/>
      <c r="M328" s="17"/>
      <c r="O328" s="17"/>
      <c r="Q328" s="17"/>
      <c r="T328" s="17"/>
      <c r="W328" s="15" t="str">
        <f t="shared" si="15"/>
        <v/>
      </c>
      <c r="X328" s="15" t="str">
        <f t="shared" si="16"/>
        <v/>
      </c>
      <c r="Y328" s="16" t="str">
        <f t="shared" ca="1" si="17"/>
        <v/>
      </c>
    </row>
    <row r="329" spans="3:25" x14ac:dyDescent="0.25">
      <c r="C329" s="17"/>
      <c r="G329" s="17"/>
      <c r="J329" s="17"/>
      <c r="M329" s="17"/>
      <c r="O329" s="17"/>
      <c r="Q329" s="17"/>
      <c r="T329" s="17"/>
      <c r="W329" s="15" t="str">
        <f t="shared" si="15"/>
        <v/>
      </c>
      <c r="X329" s="15" t="str">
        <f t="shared" si="16"/>
        <v/>
      </c>
      <c r="Y329" s="16" t="str">
        <f t="shared" ca="1" si="17"/>
        <v/>
      </c>
    </row>
    <row r="330" spans="3:25" x14ac:dyDescent="0.25">
      <c r="C330" s="17"/>
      <c r="G330" s="17"/>
      <c r="J330" s="17"/>
      <c r="M330" s="17"/>
      <c r="O330" s="17"/>
      <c r="Q330" s="17"/>
      <c r="T330" s="17"/>
      <c r="W330" s="15" t="str">
        <f t="shared" si="15"/>
        <v/>
      </c>
      <c r="X330" s="15" t="str">
        <f t="shared" si="16"/>
        <v/>
      </c>
      <c r="Y330" s="16" t="str">
        <f t="shared" ca="1" si="17"/>
        <v/>
      </c>
    </row>
    <row r="331" spans="3:25" x14ac:dyDescent="0.25">
      <c r="C331" s="17"/>
      <c r="G331" s="17"/>
      <c r="J331" s="17"/>
      <c r="M331" s="17"/>
      <c r="O331" s="17"/>
      <c r="Q331" s="17"/>
      <c r="T331" s="17"/>
      <c r="W331" s="15" t="str">
        <f t="shared" si="15"/>
        <v/>
      </c>
      <c r="X331" s="15" t="str">
        <f t="shared" si="16"/>
        <v/>
      </c>
      <c r="Y331" s="16" t="str">
        <f t="shared" ca="1" si="17"/>
        <v/>
      </c>
    </row>
    <row r="332" spans="3:25" x14ac:dyDescent="0.25">
      <c r="C332" s="17"/>
      <c r="G332" s="17"/>
      <c r="J332" s="17"/>
      <c r="M332" s="17"/>
      <c r="O332" s="17"/>
      <c r="Q332" s="17"/>
      <c r="T332" s="17"/>
      <c r="W332" s="15" t="str">
        <f t="shared" si="15"/>
        <v/>
      </c>
      <c r="X332" s="15" t="str">
        <f t="shared" si="16"/>
        <v/>
      </c>
      <c r="Y332" s="16" t="str">
        <f t="shared" ca="1" si="17"/>
        <v/>
      </c>
    </row>
    <row r="333" spans="3:25" x14ac:dyDescent="0.25">
      <c r="C333" s="17"/>
      <c r="G333" s="17"/>
      <c r="J333" s="17"/>
      <c r="M333" s="17"/>
      <c r="O333" s="17"/>
      <c r="Q333" s="17"/>
      <c r="T333" s="17"/>
      <c r="W333" s="15" t="str">
        <f t="shared" si="15"/>
        <v/>
      </c>
      <c r="X333" s="15" t="str">
        <f t="shared" si="16"/>
        <v/>
      </c>
      <c r="Y333" s="16" t="str">
        <f t="shared" ca="1" si="17"/>
        <v/>
      </c>
    </row>
    <row r="334" spans="3:25" x14ac:dyDescent="0.25">
      <c r="C334" s="17"/>
      <c r="G334" s="17"/>
      <c r="J334" s="17"/>
      <c r="M334" s="17"/>
      <c r="O334" s="17"/>
      <c r="Q334" s="17"/>
      <c r="T334" s="17"/>
      <c r="W334" s="15" t="str">
        <f t="shared" si="15"/>
        <v/>
      </c>
      <c r="X334" s="15" t="str">
        <f t="shared" si="16"/>
        <v/>
      </c>
      <c r="Y334" s="16" t="str">
        <f t="shared" ca="1" si="17"/>
        <v/>
      </c>
    </row>
    <row r="335" spans="3:25" x14ac:dyDescent="0.25">
      <c r="C335" s="17"/>
      <c r="G335" s="17"/>
      <c r="J335" s="17"/>
      <c r="M335" s="17"/>
      <c r="O335" s="17"/>
      <c r="Q335" s="17"/>
      <c r="T335" s="17"/>
      <c r="W335" s="15" t="str">
        <f t="shared" si="15"/>
        <v/>
      </c>
      <c r="X335" s="15" t="str">
        <f t="shared" si="16"/>
        <v/>
      </c>
      <c r="Y335" s="16" t="str">
        <f t="shared" ca="1" si="17"/>
        <v/>
      </c>
    </row>
    <row r="336" spans="3:25" x14ac:dyDescent="0.25">
      <c r="C336" s="17"/>
      <c r="G336" s="17"/>
      <c r="J336" s="17"/>
      <c r="M336" s="17"/>
      <c r="O336" s="17"/>
      <c r="Q336" s="17"/>
      <c r="T336" s="17"/>
      <c r="W336" s="15" t="str">
        <f t="shared" si="15"/>
        <v/>
      </c>
      <c r="X336" s="15" t="str">
        <f t="shared" si="16"/>
        <v/>
      </c>
      <c r="Y336" s="16" t="str">
        <f t="shared" ca="1" si="17"/>
        <v/>
      </c>
    </row>
    <row r="337" spans="3:25" x14ac:dyDescent="0.25">
      <c r="C337" s="17"/>
      <c r="G337" s="17"/>
      <c r="J337" s="17"/>
      <c r="M337" s="17"/>
      <c r="O337" s="17"/>
      <c r="Q337" s="17"/>
      <c r="T337" s="17"/>
      <c r="W337" s="15" t="str">
        <f t="shared" si="15"/>
        <v/>
      </c>
      <c r="X337" s="15" t="str">
        <f t="shared" si="16"/>
        <v/>
      </c>
      <c r="Y337" s="16" t="str">
        <f t="shared" ca="1" si="17"/>
        <v/>
      </c>
    </row>
    <row r="338" spans="3:25" x14ac:dyDescent="0.25">
      <c r="C338" s="17"/>
      <c r="G338" s="17"/>
      <c r="J338" s="17"/>
      <c r="M338" s="17"/>
      <c r="O338" s="17"/>
      <c r="Q338" s="17"/>
      <c r="T338" s="17"/>
      <c r="W338" s="15" t="str">
        <f t="shared" si="15"/>
        <v/>
      </c>
      <c r="X338" s="15" t="str">
        <f t="shared" si="16"/>
        <v/>
      </c>
      <c r="Y338" s="16" t="str">
        <f t="shared" ca="1" si="17"/>
        <v/>
      </c>
    </row>
    <row r="339" spans="3:25" x14ac:dyDescent="0.25">
      <c r="C339" s="17"/>
      <c r="G339" s="17"/>
      <c r="J339" s="17"/>
      <c r="M339" s="17"/>
      <c r="O339" s="17"/>
      <c r="Q339" s="17"/>
      <c r="T339" s="17"/>
      <c r="W339" s="15" t="str">
        <f t="shared" si="15"/>
        <v/>
      </c>
      <c r="X339" s="15" t="str">
        <f t="shared" si="16"/>
        <v/>
      </c>
      <c r="Y339" s="16" t="str">
        <f t="shared" ca="1" si="17"/>
        <v/>
      </c>
    </row>
    <row r="340" spans="3:25" x14ac:dyDescent="0.25">
      <c r="C340" s="17"/>
      <c r="G340" s="17"/>
      <c r="J340" s="17"/>
      <c r="M340" s="17"/>
      <c r="O340" s="17"/>
      <c r="Q340" s="17"/>
      <c r="T340" s="17"/>
      <c r="W340" s="15" t="str">
        <f t="shared" si="15"/>
        <v/>
      </c>
      <c r="X340" s="15" t="str">
        <f t="shared" si="16"/>
        <v/>
      </c>
      <c r="Y340" s="16" t="str">
        <f t="shared" ca="1" si="17"/>
        <v/>
      </c>
    </row>
    <row r="341" spans="3:25" x14ac:dyDescent="0.25">
      <c r="C341" s="17"/>
      <c r="G341" s="17"/>
      <c r="J341" s="17"/>
      <c r="M341" s="17"/>
      <c r="O341" s="17"/>
      <c r="Q341" s="17"/>
      <c r="T341" s="17"/>
      <c r="W341" s="15" t="str">
        <f t="shared" si="15"/>
        <v/>
      </c>
      <c r="X341" s="15" t="str">
        <f t="shared" si="16"/>
        <v/>
      </c>
      <c r="Y341" s="16" t="str">
        <f t="shared" ca="1" si="17"/>
        <v/>
      </c>
    </row>
    <row r="342" spans="3:25" x14ac:dyDescent="0.25">
      <c r="C342" s="17"/>
      <c r="G342" s="17"/>
      <c r="J342" s="17"/>
      <c r="M342" s="17"/>
      <c r="O342" s="17"/>
      <c r="Q342" s="17"/>
      <c r="T342" s="17"/>
      <c r="W342" s="15" t="str">
        <f t="shared" si="15"/>
        <v/>
      </c>
      <c r="X342" s="15" t="str">
        <f t="shared" si="16"/>
        <v/>
      </c>
      <c r="Y342" s="16" t="str">
        <f t="shared" ca="1" si="17"/>
        <v/>
      </c>
    </row>
    <row r="343" spans="3:25" x14ac:dyDescent="0.25">
      <c r="C343" s="17"/>
      <c r="G343" s="17"/>
      <c r="J343" s="17"/>
      <c r="M343" s="17"/>
      <c r="O343" s="17"/>
      <c r="Q343" s="17"/>
      <c r="T343" s="17"/>
      <c r="W343" s="15" t="str">
        <f t="shared" si="15"/>
        <v/>
      </c>
      <c r="X343" s="15" t="str">
        <f t="shared" si="16"/>
        <v/>
      </c>
      <c r="Y343" s="16" t="str">
        <f t="shared" ca="1" si="17"/>
        <v/>
      </c>
    </row>
    <row r="344" spans="3:25" x14ac:dyDescent="0.25">
      <c r="C344" s="17"/>
      <c r="G344" s="17"/>
      <c r="J344" s="17"/>
      <c r="M344" s="17"/>
      <c r="O344" s="17"/>
      <c r="Q344" s="17"/>
      <c r="T344" s="17"/>
      <c r="W344" s="15" t="str">
        <f t="shared" si="15"/>
        <v/>
      </c>
      <c r="X344" s="15" t="str">
        <f t="shared" si="16"/>
        <v/>
      </c>
      <c r="Y344" s="16" t="str">
        <f t="shared" ca="1" si="17"/>
        <v/>
      </c>
    </row>
    <row r="345" spans="3:25" x14ac:dyDescent="0.25">
      <c r="C345" s="17"/>
      <c r="G345" s="17"/>
      <c r="J345" s="17"/>
      <c r="M345" s="17"/>
      <c r="O345" s="17"/>
      <c r="Q345" s="17"/>
      <c r="T345" s="17"/>
      <c r="W345" s="15" t="str">
        <f t="shared" si="15"/>
        <v/>
      </c>
      <c r="X345" s="15" t="str">
        <f t="shared" si="16"/>
        <v/>
      </c>
      <c r="Y345" s="16" t="str">
        <f t="shared" ca="1" si="17"/>
        <v/>
      </c>
    </row>
    <row r="346" spans="3:25" x14ac:dyDescent="0.25">
      <c r="C346" s="17"/>
      <c r="G346" s="17"/>
      <c r="J346" s="17"/>
      <c r="M346" s="17"/>
      <c r="O346" s="17"/>
      <c r="Q346" s="17"/>
      <c r="T346" s="17"/>
      <c r="W346" s="15" t="str">
        <f t="shared" si="15"/>
        <v/>
      </c>
      <c r="X346" s="15" t="str">
        <f t="shared" si="16"/>
        <v/>
      </c>
      <c r="Y346" s="16" t="str">
        <f t="shared" ca="1" si="17"/>
        <v/>
      </c>
    </row>
    <row r="347" spans="3:25" x14ac:dyDescent="0.25">
      <c r="C347" s="17"/>
      <c r="G347" s="17"/>
      <c r="J347" s="17"/>
      <c r="M347" s="17"/>
      <c r="O347" s="17"/>
      <c r="Q347" s="17"/>
      <c r="T347" s="17"/>
      <c r="W347" s="15" t="str">
        <f t="shared" si="15"/>
        <v/>
      </c>
      <c r="X347" s="15" t="str">
        <f t="shared" si="16"/>
        <v/>
      </c>
      <c r="Y347" s="16" t="str">
        <f t="shared" ca="1" si="17"/>
        <v/>
      </c>
    </row>
    <row r="348" spans="3:25" x14ac:dyDescent="0.25">
      <c r="C348" s="17"/>
      <c r="G348" s="17"/>
      <c r="J348" s="17"/>
      <c r="M348" s="17"/>
      <c r="O348" s="17"/>
      <c r="Q348" s="17"/>
      <c r="T348" s="17"/>
      <c r="W348" s="15" t="str">
        <f t="shared" si="15"/>
        <v/>
      </c>
      <c r="X348" s="15" t="str">
        <f t="shared" si="16"/>
        <v/>
      </c>
      <c r="Y348" s="16" t="str">
        <f t="shared" ca="1" si="17"/>
        <v/>
      </c>
    </row>
    <row r="349" spans="3:25" x14ac:dyDescent="0.25">
      <c r="C349" s="17"/>
      <c r="G349" s="17"/>
      <c r="J349" s="17"/>
      <c r="M349" s="17"/>
      <c r="O349" s="17"/>
      <c r="Q349" s="17"/>
      <c r="T349" s="17"/>
      <c r="W349" s="15" t="str">
        <f t="shared" si="15"/>
        <v/>
      </c>
      <c r="X349" s="15" t="str">
        <f t="shared" si="16"/>
        <v/>
      </c>
      <c r="Y349" s="16" t="str">
        <f t="shared" ca="1" si="17"/>
        <v/>
      </c>
    </row>
    <row r="350" spans="3:25" x14ac:dyDescent="0.25">
      <c r="C350" s="17"/>
      <c r="G350" s="17"/>
      <c r="J350" s="17"/>
      <c r="M350" s="17"/>
      <c r="O350" s="17"/>
      <c r="Q350" s="17"/>
      <c r="T350" s="17"/>
      <c r="W350" s="15" t="str">
        <f t="shared" si="15"/>
        <v/>
      </c>
      <c r="X350" s="15" t="str">
        <f t="shared" si="16"/>
        <v/>
      </c>
      <c r="Y350" s="16" t="str">
        <f t="shared" ca="1" si="17"/>
        <v/>
      </c>
    </row>
    <row r="351" spans="3:25" x14ac:dyDescent="0.25">
      <c r="C351" s="17"/>
      <c r="G351" s="17"/>
      <c r="J351" s="17"/>
      <c r="M351" s="17"/>
      <c r="O351" s="17"/>
      <c r="Q351" s="17"/>
      <c r="T351" s="17"/>
      <c r="W351" s="15" t="str">
        <f t="shared" si="15"/>
        <v/>
      </c>
      <c r="X351" s="15" t="str">
        <f t="shared" si="16"/>
        <v/>
      </c>
      <c r="Y351" s="16" t="str">
        <f t="shared" ca="1" si="17"/>
        <v/>
      </c>
    </row>
    <row r="352" spans="3:25" x14ac:dyDescent="0.25">
      <c r="C352" s="17"/>
      <c r="G352" s="17"/>
      <c r="J352" s="17"/>
      <c r="M352" s="17"/>
      <c r="O352" s="17"/>
      <c r="Q352" s="17"/>
      <c r="T352" s="17"/>
      <c r="W352" s="15" t="str">
        <f t="shared" si="15"/>
        <v/>
      </c>
      <c r="X352" s="15" t="str">
        <f t="shared" si="16"/>
        <v/>
      </c>
      <c r="Y352" s="16" t="str">
        <f t="shared" ca="1" si="17"/>
        <v/>
      </c>
    </row>
    <row r="353" spans="3:25" x14ac:dyDescent="0.25">
      <c r="C353" s="17"/>
      <c r="G353" s="17"/>
      <c r="J353" s="17"/>
      <c r="M353" s="17"/>
      <c r="O353" s="17"/>
      <c r="Q353" s="17"/>
      <c r="T353" s="17"/>
      <c r="W353" s="15" t="str">
        <f t="shared" si="15"/>
        <v/>
      </c>
      <c r="X353" s="15" t="str">
        <f t="shared" si="16"/>
        <v/>
      </c>
      <c r="Y353" s="16" t="str">
        <f t="shared" ca="1" si="17"/>
        <v/>
      </c>
    </row>
    <row r="354" spans="3:25" x14ac:dyDescent="0.25">
      <c r="C354" s="17"/>
      <c r="G354" s="17"/>
      <c r="J354" s="17"/>
      <c r="M354" s="17"/>
      <c r="O354" s="17"/>
      <c r="Q354" s="17"/>
      <c r="T354" s="17"/>
      <c r="W354" s="15" t="str">
        <f t="shared" si="15"/>
        <v/>
      </c>
      <c r="X354" s="15" t="str">
        <f t="shared" si="16"/>
        <v/>
      </c>
      <c r="Y354" s="16" t="str">
        <f t="shared" ca="1" si="17"/>
        <v/>
      </c>
    </row>
    <row r="355" spans="3:25" x14ac:dyDescent="0.25">
      <c r="C355" s="17"/>
      <c r="G355" s="17"/>
      <c r="J355" s="17"/>
      <c r="M355" s="17"/>
      <c r="O355" s="17"/>
      <c r="Q355" s="17"/>
      <c r="T355" s="17"/>
      <c r="W355" s="15" t="str">
        <f t="shared" si="15"/>
        <v/>
      </c>
      <c r="X355" s="15" t="str">
        <f t="shared" si="16"/>
        <v/>
      </c>
      <c r="Y355" s="16" t="str">
        <f t="shared" ca="1" si="17"/>
        <v/>
      </c>
    </row>
    <row r="356" spans="3:25" x14ac:dyDescent="0.25">
      <c r="C356" s="17"/>
      <c r="G356" s="17"/>
      <c r="J356" s="17"/>
      <c r="M356" s="17"/>
      <c r="O356" s="17"/>
      <c r="Q356" s="17"/>
      <c r="T356" s="17"/>
      <c r="W356" s="15" t="str">
        <f t="shared" si="15"/>
        <v/>
      </c>
      <c r="X356" s="15" t="str">
        <f t="shared" si="16"/>
        <v/>
      </c>
      <c r="Y356" s="16" t="str">
        <f t="shared" ca="1" si="17"/>
        <v/>
      </c>
    </row>
    <row r="357" spans="3:25" x14ac:dyDescent="0.25">
      <c r="C357" s="17"/>
      <c r="G357" s="17"/>
      <c r="J357" s="17"/>
      <c r="M357" s="17"/>
      <c r="O357" s="17"/>
      <c r="Q357" s="17"/>
      <c r="T357" s="17"/>
      <c r="W357" s="15" t="str">
        <f t="shared" si="15"/>
        <v/>
      </c>
      <c r="X357" s="15" t="str">
        <f t="shared" si="16"/>
        <v/>
      </c>
      <c r="Y357" s="16" t="str">
        <f t="shared" ca="1" si="17"/>
        <v/>
      </c>
    </row>
    <row r="358" spans="3:25" x14ac:dyDescent="0.25">
      <c r="C358" s="17"/>
      <c r="G358" s="17"/>
      <c r="J358" s="17"/>
      <c r="M358" s="17"/>
      <c r="O358" s="17"/>
      <c r="Q358" s="17"/>
      <c r="T358" s="17"/>
      <c r="W358" s="15" t="str">
        <f t="shared" si="15"/>
        <v/>
      </c>
      <c r="X358" s="15" t="str">
        <f t="shared" si="16"/>
        <v/>
      </c>
      <c r="Y358" s="16" t="str">
        <f t="shared" ca="1" si="17"/>
        <v/>
      </c>
    </row>
    <row r="359" spans="3:25" x14ac:dyDescent="0.25">
      <c r="C359" s="17"/>
      <c r="G359" s="17"/>
      <c r="J359" s="17"/>
      <c r="M359" s="17"/>
      <c r="O359" s="17"/>
      <c r="Q359" s="17"/>
      <c r="T359" s="17"/>
      <c r="W359" s="15" t="str">
        <f t="shared" si="15"/>
        <v/>
      </c>
      <c r="X359" s="15" t="str">
        <f t="shared" si="16"/>
        <v/>
      </c>
      <c r="Y359" s="16" t="str">
        <f t="shared" ca="1" si="17"/>
        <v/>
      </c>
    </row>
    <row r="360" spans="3:25" x14ac:dyDescent="0.25">
      <c r="C360" s="17"/>
      <c r="G360" s="17"/>
      <c r="J360" s="17"/>
      <c r="M360" s="17"/>
      <c r="O360" s="17"/>
      <c r="Q360" s="17"/>
      <c r="T360" s="17"/>
      <c r="W360" s="15" t="str">
        <f t="shared" si="15"/>
        <v/>
      </c>
      <c r="X360" s="15" t="str">
        <f t="shared" si="16"/>
        <v/>
      </c>
      <c r="Y360" s="16" t="str">
        <f t="shared" ca="1" si="17"/>
        <v/>
      </c>
    </row>
    <row r="361" spans="3:25" x14ac:dyDescent="0.25">
      <c r="C361" s="17"/>
      <c r="G361" s="17"/>
      <c r="J361" s="17"/>
      <c r="M361" s="17"/>
      <c r="O361" s="17"/>
      <c r="Q361" s="17"/>
      <c r="T361" s="17"/>
      <c r="W361" s="15" t="str">
        <f t="shared" si="15"/>
        <v/>
      </c>
      <c r="X361" s="15" t="str">
        <f t="shared" si="16"/>
        <v/>
      </c>
      <c r="Y361" s="16" t="str">
        <f t="shared" ca="1" si="17"/>
        <v/>
      </c>
    </row>
    <row r="362" spans="3:25" x14ac:dyDescent="0.25">
      <c r="C362" s="17"/>
      <c r="G362" s="17"/>
      <c r="J362" s="17"/>
      <c r="M362" s="17"/>
      <c r="O362" s="17"/>
      <c r="Q362" s="17"/>
      <c r="T362" s="17"/>
      <c r="W362" s="15" t="str">
        <f t="shared" si="15"/>
        <v/>
      </c>
      <c r="X362" s="15" t="str">
        <f t="shared" si="16"/>
        <v/>
      </c>
      <c r="Y362" s="16" t="str">
        <f t="shared" ca="1" si="17"/>
        <v/>
      </c>
    </row>
    <row r="363" spans="3:25" x14ac:dyDescent="0.25">
      <c r="C363" s="17"/>
      <c r="G363" s="17"/>
      <c r="J363" s="17"/>
      <c r="M363" s="17"/>
      <c r="O363" s="17"/>
      <c r="Q363" s="17"/>
      <c r="T363" s="17"/>
      <c r="W363" s="15" t="str">
        <f t="shared" si="15"/>
        <v/>
      </c>
      <c r="X363" s="15" t="str">
        <f t="shared" si="16"/>
        <v/>
      </c>
      <c r="Y363" s="16" t="str">
        <f t="shared" ca="1" si="17"/>
        <v/>
      </c>
    </row>
    <row r="364" spans="3:25" x14ac:dyDescent="0.25">
      <c r="C364" s="17"/>
      <c r="G364" s="17"/>
      <c r="J364" s="17"/>
      <c r="M364" s="17"/>
      <c r="O364" s="17"/>
      <c r="Q364" s="17"/>
      <c r="T364" s="17"/>
      <c r="W364" s="15" t="str">
        <f t="shared" si="15"/>
        <v/>
      </c>
      <c r="X364" s="15" t="str">
        <f t="shared" si="16"/>
        <v/>
      </c>
      <c r="Y364" s="16" t="str">
        <f t="shared" ca="1" si="17"/>
        <v/>
      </c>
    </row>
    <row r="365" spans="3:25" x14ac:dyDescent="0.25">
      <c r="C365" s="17"/>
      <c r="G365" s="17"/>
      <c r="J365" s="17"/>
      <c r="M365" s="17"/>
      <c r="O365" s="17"/>
      <c r="Q365" s="17"/>
      <c r="T365" s="17"/>
      <c r="W365" s="15" t="str">
        <f t="shared" si="15"/>
        <v/>
      </c>
      <c r="X365" s="15" t="str">
        <f t="shared" si="16"/>
        <v/>
      </c>
      <c r="Y365" s="16" t="str">
        <f t="shared" ca="1" si="17"/>
        <v/>
      </c>
    </row>
    <row r="366" spans="3:25" x14ac:dyDescent="0.25">
      <c r="C366" s="17"/>
      <c r="G366" s="17"/>
      <c r="J366" s="17"/>
      <c r="M366" s="17"/>
      <c r="O366" s="17"/>
      <c r="Q366" s="17"/>
      <c r="T366" s="17"/>
      <c r="W366" s="15" t="str">
        <f t="shared" si="15"/>
        <v/>
      </c>
      <c r="X366" s="15" t="str">
        <f t="shared" si="16"/>
        <v/>
      </c>
      <c r="Y366" s="16" t="str">
        <f t="shared" ca="1" si="17"/>
        <v/>
      </c>
    </row>
    <row r="367" spans="3:25" x14ac:dyDescent="0.25">
      <c r="C367" s="17"/>
      <c r="G367" s="17"/>
      <c r="J367" s="17"/>
      <c r="M367" s="17"/>
      <c r="O367" s="17"/>
      <c r="Q367" s="17"/>
      <c r="T367" s="17"/>
      <c r="W367" s="15" t="str">
        <f t="shared" si="15"/>
        <v/>
      </c>
      <c r="X367" s="15" t="str">
        <f t="shared" si="16"/>
        <v/>
      </c>
      <c r="Y367" s="16" t="str">
        <f t="shared" ca="1" si="17"/>
        <v/>
      </c>
    </row>
    <row r="368" spans="3:25" x14ac:dyDescent="0.25">
      <c r="C368" s="17"/>
      <c r="G368" s="17"/>
      <c r="J368" s="17"/>
      <c r="M368" s="17"/>
      <c r="O368" s="17"/>
      <c r="Q368" s="17"/>
      <c r="T368" s="17"/>
      <c r="W368" s="15" t="str">
        <f t="shared" si="15"/>
        <v/>
      </c>
      <c r="X368" s="15" t="str">
        <f t="shared" si="16"/>
        <v/>
      </c>
      <c r="Y368" s="16" t="str">
        <f t="shared" ca="1" si="17"/>
        <v/>
      </c>
    </row>
    <row r="369" spans="3:25" x14ac:dyDescent="0.25">
      <c r="C369" s="17"/>
      <c r="G369" s="17"/>
      <c r="J369" s="17"/>
      <c r="M369" s="17"/>
      <c r="O369" s="17"/>
      <c r="Q369" s="17"/>
      <c r="T369" s="17"/>
      <c r="W369" s="15" t="str">
        <f t="shared" si="15"/>
        <v/>
      </c>
      <c r="X369" s="15" t="str">
        <f t="shared" si="16"/>
        <v/>
      </c>
      <c r="Y369" s="16" t="str">
        <f t="shared" ca="1" si="17"/>
        <v/>
      </c>
    </row>
    <row r="370" spans="3:25" x14ac:dyDescent="0.25">
      <c r="C370" s="17"/>
      <c r="G370" s="17"/>
      <c r="J370" s="17"/>
      <c r="M370" s="17"/>
      <c r="O370" s="17"/>
      <c r="Q370" s="17"/>
      <c r="T370" s="17"/>
      <c r="W370" s="15" t="str">
        <f t="shared" si="15"/>
        <v/>
      </c>
      <c r="X370" s="15" t="str">
        <f t="shared" si="16"/>
        <v/>
      </c>
      <c r="Y370" s="16" t="str">
        <f t="shared" ca="1" si="17"/>
        <v/>
      </c>
    </row>
    <row r="371" spans="3:25" x14ac:dyDescent="0.25">
      <c r="C371" s="17"/>
      <c r="G371" s="17"/>
      <c r="J371" s="17"/>
      <c r="M371" s="17"/>
      <c r="O371" s="17"/>
      <c r="Q371" s="17"/>
      <c r="T371" s="17"/>
      <c r="W371" s="15" t="str">
        <f t="shared" si="15"/>
        <v/>
      </c>
      <c r="X371" s="15" t="str">
        <f t="shared" si="16"/>
        <v/>
      </c>
      <c r="Y371" s="16" t="str">
        <f t="shared" ca="1" si="17"/>
        <v/>
      </c>
    </row>
    <row r="372" spans="3:25" x14ac:dyDescent="0.25">
      <c r="C372" s="17"/>
      <c r="G372" s="17"/>
      <c r="J372" s="17"/>
      <c r="M372" s="17"/>
      <c r="O372" s="17"/>
      <c r="Q372" s="17"/>
      <c r="T372" s="17"/>
      <c r="W372" s="15" t="str">
        <f t="shared" si="15"/>
        <v/>
      </c>
      <c r="X372" s="15" t="str">
        <f t="shared" si="16"/>
        <v/>
      </c>
      <c r="Y372" s="16" t="str">
        <f t="shared" ca="1" si="17"/>
        <v/>
      </c>
    </row>
    <row r="373" spans="3:25" x14ac:dyDescent="0.25">
      <c r="C373" s="17"/>
      <c r="G373" s="17"/>
      <c r="J373" s="17"/>
      <c r="M373" s="17"/>
      <c r="O373" s="17"/>
      <c r="Q373" s="17"/>
      <c r="T373" s="17"/>
      <c r="W373" s="15" t="str">
        <f t="shared" si="15"/>
        <v/>
      </c>
      <c r="X373" s="15" t="str">
        <f t="shared" si="16"/>
        <v/>
      </c>
      <c r="Y373" s="16" t="str">
        <f t="shared" ca="1" si="17"/>
        <v/>
      </c>
    </row>
    <row r="374" spans="3:25" x14ac:dyDescent="0.25">
      <c r="C374" s="17"/>
      <c r="G374" s="17"/>
      <c r="J374" s="17"/>
      <c r="M374" s="17"/>
      <c r="O374" s="17"/>
      <c r="Q374" s="17"/>
      <c r="T374" s="17"/>
      <c r="W374" s="15" t="str">
        <f t="shared" si="15"/>
        <v/>
      </c>
      <c r="X374" s="15" t="str">
        <f t="shared" si="16"/>
        <v/>
      </c>
      <c r="Y374" s="16" t="str">
        <f t="shared" ca="1" si="17"/>
        <v/>
      </c>
    </row>
    <row r="375" spans="3:25" x14ac:dyDescent="0.25">
      <c r="C375" s="17"/>
      <c r="G375" s="17"/>
      <c r="J375" s="17"/>
      <c r="M375" s="17"/>
      <c r="O375" s="17"/>
      <c r="Q375" s="17"/>
      <c r="T375" s="17"/>
      <c r="W375" s="15" t="str">
        <f t="shared" si="15"/>
        <v/>
      </c>
      <c r="X375" s="15" t="str">
        <f t="shared" si="16"/>
        <v/>
      </c>
      <c r="Y375" s="16" t="str">
        <f t="shared" ca="1" si="17"/>
        <v/>
      </c>
    </row>
    <row r="376" spans="3:25" x14ac:dyDescent="0.25">
      <c r="C376" s="17"/>
      <c r="G376" s="17"/>
      <c r="J376" s="17"/>
      <c r="M376" s="17"/>
      <c r="O376" s="17"/>
      <c r="Q376" s="17"/>
      <c r="T376" s="17"/>
      <c r="W376" s="15" t="str">
        <f t="shared" si="15"/>
        <v/>
      </c>
      <c r="X376" s="15" t="str">
        <f t="shared" si="16"/>
        <v/>
      </c>
      <c r="Y376" s="16" t="str">
        <f t="shared" ca="1" si="17"/>
        <v/>
      </c>
    </row>
    <row r="377" spans="3:25" x14ac:dyDescent="0.25">
      <c r="C377" s="17"/>
      <c r="G377" s="17"/>
      <c r="J377" s="17"/>
      <c r="M377" s="17"/>
      <c r="O377" s="17"/>
      <c r="Q377" s="17"/>
      <c r="T377" s="17"/>
      <c r="W377" s="15" t="str">
        <f t="shared" si="15"/>
        <v/>
      </c>
      <c r="X377" s="15" t="str">
        <f t="shared" si="16"/>
        <v/>
      </c>
      <c r="Y377" s="16" t="str">
        <f t="shared" ca="1" si="17"/>
        <v/>
      </c>
    </row>
    <row r="378" spans="3:25" x14ac:dyDescent="0.25">
      <c r="C378" s="17"/>
      <c r="G378" s="17"/>
      <c r="J378" s="17"/>
      <c r="M378" s="17"/>
      <c r="O378" s="17"/>
      <c r="Q378" s="17"/>
      <c r="T378" s="17"/>
      <c r="W378" s="15" t="str">
        <f t="shared" si="15"/>
        <v/>
      </c>
      <c r="X378" s="15" t="str">
        <f t="shared" si="16"/>
        <v/>
      </c>
      <c r="Y378" s="16" t="str">
        <f t="shared" ca="1" si="17"/>
        <v/>
      </c>
    </row>
    <row r="379" spans="3:25" x14ac:dyDescent="0.25">
      <c r="C379" s="17"/>
      <c r="G379" s="17"/>
      <c r="J379" s="17"/>
      <c r="M379" s="17"/>
      <c r="O379" s="17"/>
      <c r="Q379" s="17"/>
      <c r="T379" s="17"/>
      <c r="W379" s="15" t="str">
        <f t="shared" si="15"/>
        <v/>
      </c>
      <c r="X379" s="15" t="str">
        <f t="shared" si="16"/>
        <v/>
      </c>
      <c r="Y379" s="16" t="str">
        <f t="shared" ca="1" si="17"/>
        <v/>
      </c>
    </row>
    <row r="380" spans="3:25" x14ac:dyDescent="0.25">
      <c r="C380" s="17"/>
      <c r="G380" s="17"/>
      <c r="J380" s="17"/>
      <c r="M380" s="17"/>
      <c r="O380" s="17"/>
      <c r="Q380" s="17"/>
      <c r="T380" s="17"/>
      <c r="W380" s="15" t="str">
        <f t="shared" si="15"/>
        <v/>
      </c>
      <c r="X380" s="15" t="str">
        <f t="shared" si="16"/>
        <v/>
      </c>
      <c r="Y380" s="16" t="str">
        <f t="shared" ca="1" si="17"/>
        <v/>
      </c>
    </row>
    <row r="381" spans="3:25" x14ac:dyDescent="0.25">
      <c r="C381" s="17"/>
      <c r="G381" s="17"/>
      <c r="J381" s="17"/>
      <c r="M381" s="17"/>
      <c r="O381" s="17"/>
      <c r="Q381" s="17"/>
      <c r="T381" s="17"/>
      <c r="W381" s="15" t="str">
        <f t="shared" si="15"/>
        <v/>
      </c>
      <c r="X381" s="15" t="str">
        <f t="shared" si="16"/>
        <v/>
      </c>
      <c r="Y381" s="16" t="str">
        <f t="shared" ca="1" si="17"/>
        <v/>
      </c>
    </row>
    <row r="382" spans="3:25" x14ac:dyDescent="0.25">
      <c r="C382" s="17"/>
      <c r="G382" s="17"/>
      <c r="J382" s="17"/>
      <c r="M382" s="17"/>
      <c r="O382" s="17"/>
      <c r="Q382" s="17"/>
      <c r="T382" s="17"/>
      <c r="W382" s="15" t="str">
        <f t="shared" si="15"/>
        <v/>
      </c>
      <c r="X382" s="15" t="str">
        <f t="shared" si="16"/>
        <v/>
      </c>
      <c r="Y382" s="16" t="str">
        <f t="shared" ca="1" si="17"/>
        <v/>
      </c>
    </row>
    <row r="383" spans="3:25" x14ac:dyDescent="0.25">
      <c r="C383" s="17"/>
      <c r="G383" s="17"/>
      <c r="J383" s="17"/>
      <c r="M383" s="17"/>
      <c r="O383" s="17"/>
      <c r="Q383" s="17"/>
      <c r="T383" s="17"/>
      <c r="W383" s="15" t="str">
        <f t="shared" si="15"/>
        <v/>
      </c>
      <c r="X383" s="15" t="str">
        <f t="shared" si="16"/>
        <v/>
      </c>
      <c r="Y383" s="16" t="str">
        <f t="shared" ca="1" si="17"/>
        <v/>
      </c>
    </row>
    <row r="384" spans="3:25" x14ac:dyDescent="0.25">
      <c r="C384" s="17"/>
      <c r="G384" s="17"/>
      <c r="J384" s="17"/>
      <c r="M384" s="17"/>
      <c r="O384" s="17"/>
      <c r="Q384" s="17"/>
      <c r="T384" s="17"/>
      <c r="W384" s="15" t="str">
        <f t="shared" si="15"/>
        <v/>
      </c>
      <c r="X384" s="15" t="str">
        <f t="shared" si="16"/>
        <v/>
      </c>
      <c r="Y384" s="16" t="str">
        <f t="shared" ca="1" si="17"/>
        <v/>
      </c>
    </row>
    <row r="385" spans="3:25" x14ac:dyDescent="0.25">
      <c r="C385" s="17"/>
      <c r="G385" s="17"/>
      <c r="J385" s="17"/>
      <c r="M385" s="17"/>
      <c r="O385" s="17"/>
      <c r="Q385" s="17"/>
      <c r="T385" s="17"/>
      <c r="W385" s="15" t="str">
        <f t="shared" si="15"/>
        <v/>
      </c>
      <c r="X385" s="15" t="str">
        <f t="shared" si="16"/>
        <v/>
      </c>
      <c r="Y385" s="16" t="str">
        <f t="shared" ca="1" si="17"/>
        <v/>
      </c>
    </row>
    <row r="386" spans="3:25" x14ac:dyDescent="0.25">
      <c r="C386" s="17"/>
      <c r="G386" s="17"/>
      <c r="J386" s="17"/>
      <c r="M386" s="17"/>
      <c r="O386" s="17"/>
      <c r="Q386" s="17"/>
      <c r="T386" s="17"/>
      <c r="W386" s="15" t="str">
        <f t="shared" ref="W386:W449" si="18">IF($A386="","",IF($U386="Accepted","Hired",IF($S386="Yes","Offer",IF(OR($R386="In Progress",$R386="Completed"),"Reference",IF(OR($P386="Yes",$O386&lt;&gt;""),"Assessment",IF(OR($M386&lt;&gt;"",$L386&lt;&gt;"",$K386&lt;&gt;""),"Partner",IF(OR($J386&lt;&gt;"",$I386&lt;&gt;"",$H386&lt;&gt;""),"First Round",IF($F386="Yes","Screened","Contacted"))))))))</f>
        <v/>
      </c>
      <c r="X386" s="15" t="str">
        <f t="shared" ref="X386:X449" si="19">IF($A386="","",IF(OR($U386="Accepted",$U386="Declined",$H386="Rejected",$K386="Rejected"),"Closed","Active"))</f>
        <v/>
      </c>
      <c r="Y386" s="16" t="str">
        <f t="shared" ref="Y386:Y449" ca="1" si="20">IF($C386="","",TODAY()-$C386)</f>
        <v/>
      </c>
    </row>
    <row r="387" spans="3:25" x14ac:dyDescent="0.25">
      <c r="C387" s="17"/>
      <c r="G387" s="17"/>
      <c r="J387" s="17"/>
      <c r="M387" s="17"/>
      <c r="O387" s="17"/>
      <c r="Q387" s="17"/>
      <c r="T387" s="17"/>
      <c r="W387" s="15" t="str">
        <f t="shared" si="18"/>
        <v/>
      </c>
      <c r="X387" s="15" t="str">
        <f t="shared" si="19"/>
        <v/>
      </c>
      <c r="Y387" s="16" t="str">
        <f t="shared" ca="1" si="20"/>
        <v/>
      </c>
    </row>
    <row r="388" spans="3:25" x14ac:dyDescent="0.25">
      <c r="C388" s="17"/>
      <c r="G388" s="17"/>
      <c r="J388" s="17"/>
      <c r="M388" s="17"/>
      <c r="O388" s="17"/>
      <c r="Q388" s="17"/>
      <c r="T388" s="17"/>
      <c r="W388" s="15" t="str">
        <f t="shared" si="18"/>
        <v/>
      </c>
      <c r="X388" s="15" t="str">
        <f t="shared" si="19"/>
        <v/>
      </c>
      <c r="Y388" s="16" t="str">
        <f t="shared" ca="1" si="20"/>
        <v/>
      </c>
    </row>
    <row r="389" spans="3:25" x14ac:dyDescent="0.25">
      <c r="C389" s="17"/>
      <c r="G389" s="17"/>
      <c r="J389" s="17"/>
      <c r="M389" s="17"/>
      <c r="O389" s="17"/>
      <c r="Q389" s="17"/>
      <c r="T389" s="17"/>
      <c r="W389" s="15" t="str">
        <f t="shared" si="18"/>
        <v/>
      </c>
      <c r="X389" s="15" t="str">
        <f t="shared" si="19"/>
        <v/>
      </c>
      <c r="Y389" s="16" t="str">
        <f t="shared" ca="1" si="20"/>
        <v/>
      </c>
    </row>
    <row r="390" spans="3:25" x14ac:dyDescent="0.25">
      <c r="C390" s="17"/>
      <c r="G390" s="17"/>
      <c r="J390" s="17"/>
      <c r="M390" s="17"/>
      <c r="O390" s="17"/>
      <c r="Q390" s="17"/>
      <c r="T390" s="17"/>
      <c r="W390" s="15" t="str">
        <f t="shared" si="18"/>
        <v/>
      </c>
      <c r="X390" s="15" t="str">
        <f t="shared" si="19"/>
        <v/>
      </c>
      <c r="Y390" s="16" t="str">
        <f t="shared" ca="1" si="20"/>
        <v/>
      </c>
    </row>
    <row r="391" spans="3:25" x14ac:dyDescent="0.25">
      <c r="C391" s="17"/>
      <c r="G391" s="17"/>
      <c r="J391" s="17"/>
      <c r="M391" s="17"/>
      <c r="O391" s="17"/>
      <c r="Q391" s="17"/>
      <c r="T391" s="17"/>
      <c r="W391" s="15" t="str">
        <f t="shared" si="18"/>
        <v/>
      </c>
      <c r="X391" s="15" t="str">
        <f t="shared" si="19"/>
        <v/>
      </c>
      <c r="Y391" s="16" t="str">
        <f t="shared" ca="1" si="20"/>
        <v/>
      </c>
    </row>
    <row r="392" spans="3:25" x14ac:dyDescent="0.25">
      <c r="C392" s="17"/>
      <c r="G392" s="17"/>
      <c r="J392" s="17"/>
      <c r="M392" s="17"/>
      <c r="O392" s="17"/>
      <c r="Q392" s="17"/>
      <c r="T392" s="17"/>
      <c r="W392" s="15" t="str">
        <f t="shared" si="18"/>
        <v/>
      </c>
      <c r="X392" s="15" t="str">
        <f t="shared" si="19"/>
        <v/>
      </c>
      <c r="Y392" s="16" t="str">
        <f t="shared" ca="1" si="20"/>
        <v/>
      </c>
    </row>
    <row r="393" spans="3:25" x14ac:dyDescent="0.25">
      <c r="C393" s="17"/>
      <c r="G393" s="17"/>
      <c r="J393" s="17"/>
      <c r="M393" s="17"/>
      <c r="O393" s="17"/>
      <c r="Q393" s="17"/>
      <c r="T393" s="17"/>
      <c r="W393" s="15" t="str">
        <f t="shared" si="18"/>
        <v/>
      </c>
      <c r="X393" s="15" t="str">
        <f t="shared" si="19"/>
        <v/>
      </c>
      <c r="Y393" s="16" t="str">
        <f t="shared" ca="1" si="20"/>
        <v/>
      </c>
    </row>
    <row r="394" spans="3:25" x14ac:dyDescent="0.25">
      <c r="C394" s="17"/>
      <c r="G394" s="17"/>
      <c r="J394" s="17"/>
      <c r="M394" s="17"/>
      <c r="O394" s="17"/>
      <c r="Q394" s="17"/>
      <c r="T394" s="17"/>
      <c r="W394" s="15" t="str">
        <f t="shared" si="18"/>
        <v/>
      </c>
      <c r="X394" s="15" t="str">
        <f t="shared" si="19"/>
        <v/>
      </c>
      <c r="Y394" s="16" t="str">
        <f t="shared" ca="1" si="20"/>
        <v/>
      </c>
    </row>
    <row r="395" spans="3:25" x14ac:dyDescent="0.25">
      <c r="C395" s="17"/>
      <c r="G395" s="17"/>
      <c r="J395" s="17"/>
      <c r="M395" s="17"/>
      <c r="O395" s="17"/>
      <c r="Q395" s="17"/>
      <c r="T395" s="17"/>
      <c r="W395" s="15" t="str">
        <f t="shared" si="18"/>
        <v/>
      </c>
      <c r="X395" s="15" t="str">
        <f t="shared" si="19"/>
        <v/>
      </c>
      <c r="Y395" s="16" t="str">
        <f t="shared" ca="1" si="20"/>
        <v/>
      </c>
    </row>
    <row r="396" spans="3:25" x14ac:dyDescent="0.25">
      <c r="C396" s="17"/>
      <c r="G396" s="17"/>
      <c r="J396" s="17"/>
      <c r="M396" s="17"/>
      <c r="O396" s="17"/>
      <c r="Q396" s="17"/>
      <c r="T396" s="17"/>
      <c r="W396" s="15" t="str">
        <f t="shared" si="18"/>
        <v/>
      </c>
      <c r="X396" s="15" t="str">
        <f t="shared" si="19"/>
        <v/>
      </c>
      <c r="Y396" s="16" t="str">
        <f t="shared" ca="1" si="20"/>
        <v/>
      </c>
    </row>
    <row r="397" spans="3:25" x14ac:dyDescent="0.25">
      <c r="C397" s="17"/>
      <c r="G397" s="17"/>
      <c r="J397" s="17"/>
      <c r="M397" s="17"/>
      <c r="O397" s="17"/>
      <c r="Q397" s="17"/>
      <c r="T397" s="17"/>
      <c r="W397" s="15" t="str">
        <f t="shared" si="18"/>
        <v/>
      </c>
      <c r="X397" s="15" t="str">
        <f t="shared" si="19"/>
        <v/>
      </c>
      <c r="Y397" s="16" t="str">
        <f t="shared" ca="1" si="20"/>
        <v/>
      </c>
    </row>
    <row r="398" spans="3:25" x14ac:dyDescent="0.25">
      <c r="C398" s="17"/>
      <c r="G398" s="17"/>
      <c r="J398" s="17"/>
      <c r="M398" s="17"/>
      <c r="O398" s="17"/>
      <c r="Q398" s="17"/>
      <c r="T398" s="17"/>
      <c r="W398" s="15" t="str">
        <f t="shared" si="18"/>
        <v/>
      </c>
      <c r="X398" s="15" t="str">
        <f t="shared" si="19"/>
        <v/>
      </c>
      <c r="Y398" s="16" t="str">
        <f t="shared" ca="1" si="20"/>
        <v/>
      </c>
    </row>
    <row r="399" spans="3:25" x14ac:dyDescent="0.25">
      <c r="C399" s="17"/>
      <c r="G399" s="17"/>
      <c r="J399" s="17"/>
      <c r="M399" s="17"/>
      <c r="O399" s="17"/>
      <c r="Q399" s="17"/>
      <c r="T399" s="17"/>
      <c r="W399" s="15" t="str">
        <f t="shared" si="18"/>
        <v/>
      </c>
      <c r="X399" s="15" t="str">
        <f t="shared" si="19"/>
        <v/>
      </c>
      <c r="Y399" s="16" t="str">
        <f t="shared" ca="1" si="20"/>
        <v/>
      </c>
    </row>
    <row r="400" spans="3:25" x14ac:dyDescent="0.25">
      <c r="C400" s="17"/>
      <c r="G400" s="17"/>
      <c r="J400" s="17"/>
      <c r="M400" s="17"/>
      <c r="O400" s="17"/>
      <c r="Q400" s="17"/>
      <c r="T400" s="17"/>
      <c r="W400" s="15" t="str">
        <f t="shared" si="18"/>
        <v/>
      </c>
      <c r="X400" s="15" t="str">
        <f t="shared" si="19"/>
        <v/>
      </c>
      <c r="Y400" s="16" t="str">
        <f t="shared" ca="1" si="20"/>
        <v/>
      </c>
    </row>
    <row r="401" spans="3:25" x14ac:dyDescent="0.25">
      <c r="C401" s="17"/>
      <c r="G401" s="17"/>
      <c r="J401" s="17"/>
      <c r="M401" s="17"/>
      <c r="O401" s="17"/>
      <c r="Q401" s="17"/>
      <c r="T401" s="17"/>
      <c r="W401" s="15" t="str">
        <f t="shared" si="18"/>
        <v/>
      </c>
      <c r="X401" s="15" t="str">
        <f t="shared" si="19"/>
        <v/>
      </c>
      <c r="Y401" s="16" t="str">
        <f t="shared" ca="1" si="20"/>
        <v/>
      </c>
    </row>
    <row r="402" spans="3:25" x14ac:dyDescent="0.25">
      <c r="C402" s="17"/>
      <c r="G402" s="17"/>
      <c r="J402" s="17"/>
      <c r="M402" s="17"/>
      <c r="O402" s="17"/>
      <c r="Q402" s="17"/>
      <c r="T402" s="17"/>
      <c r="W402" s="15" t="str">
        <f t="shared" si="18"/>
        <v/>
      </c>
      <c r="X402" s="15" t="str">
        <f t="shared" si="19"/>
        <v/>
      </c>
      <c r="Y402" s="16" t="str">
        <f t="shared" ca="1" si="20"/>
        <v/>
      </c>
    </row>
    <row r="403" spans="3:25" x14ac:dyDescent="0.25">
      <c r="C403" s="17"/>
      <c r="G403" s="17"/>
      <c r="J403" s="17"/>
      <c r="M403" s="17"/>
      <c r="O403" s="17"/>
      <c r="Q403" s="17"/>
      <c r="T403" s="17"/>
      <c r="W403" s="15" t="str">
        <f t="shared" si="18"/>
        <v/>
      </c>
      <c r="X403" s="15" t="str">
        <f t="shared" si="19"/>
        <v/>
      </c>
      <c r="Y403" s="16" t="str">
        <f t="shared" ca="1" si="20"/>
        <v/>
      </c>
    </row>
    <row r="404" spans="3:25" x14ac:dyDescent="0.25">
      <c r="C404" s="17"/>
      <c r="G404" s="17"/>
      <c r="J404" s="17"/>
      <c r="M404" s="17"/>
      <c r="O404" s="17"/>
      <c r="Q404" s="17"/>
      <c r="T404" s="17"/>
      <c r="W404" s="15" t="str">
        <f t="shared" si="18"/>
        <v/>
      </c>
      <c r="X404" s="15" t="str">
        <f t="shared" si="19"/>
        <v/>
      </c>
      <c r="Y404" s="16" t="str">
        <f t="shared" ca="1" si="20"/>
        <v/>
      </c>
    </row>
    <row r="405" spans="3:25" x14ac:dyDescent="0.25">
      <c r="C405" s="17"/>
      <c r="G405" s="17"/>
      <c r="J405" s="17"/>
      <c r="M405" s="17"/>
      <c r="O405" s="17"/>
      <c r="Q405" s="17"/>
      <c r="T405" s="17"/>
      <c r="W405" s="15" t="str">
        <f t="shared" si="18"/>
        <v/>
      </c>
      <c r="X405" s="15" t="str">
        <f t="shared" si="19"/>
        <v/>
      </c>
      <c r="Y405" s="16" t="str">
        <f t="shared" ca="1" si="20"/>
        <v/>
      </c>
    </row>
    <row r="406" spans="3:25" x14ac:dyDescent="0.25">
      <c r="C406" s="17"/>
      <c r="G406" s="17"/>
      <c r="J406" s="17"/>
      <c r="M406" s="17"/>
      <c r="O406" s="17"/>
      <c r="Q406" s="17"/>
      <c r="T406" s="17"/>
      <c r="W406" s="15" t="str">
        <f t="shared" si="18"/>
        <v/>
      </c>
      <c r="X406" s="15" t="str">
        <f t="shared" si="19"/>
        <v/>
      </c>
      <c r="Y406" s="16" t="str">
        <f t="shared" ca="1" si="20"/>
        <v/>
      </c>
    </row>
    <row r="407" spans="3:25" x14ac:dyDescent="0.25">
      <c r="C407" s="17"/>
      <c r="G407" s="17"/>
      <c r="J407" s="17"/>
      <c r="M407" s="17"/>
      <c r="O407" s="17"/>
      <c r="Q407" s="17"/>
      <c r="T407" s="17"/>
      <c r="W407" s="15" t="str">
        <f t="shared" si="18"/>
        <v/>
      </c>
      <c r="X407" s="15" t="str">
        <f t="shared" si="19"/>
        <v/>
      </c>
      <c r="Y407" s="16" t="str">
        <f t="shared" ca="1" si="20"/>
        <v/>
      </c>
    </row>
    <row r="408" spans="3:25" x14ac:dyDescent="0.25">
      <c r="C408" s="17"/>
      <c r="G408" s="17"/>
      <c r="J408" s="17"/>
      <c r="M408" s="17"/>
      <c r="O408" s="17"/>
      <c r="Q408" s="17"/>
      <c r="T408" s="17"/>
      <c r="W408" s="15" t="str">
        <f t="shared" si="18"/>
        <v/>
      </c>
      <c r="X408" s="15" t="str">
        <f t="shared" si="19"/>
        <v/>
      </c>
      <c r="Y408" s="16" t="str">
        <f t="shared" ca="1" si="20"/>
        <v/>
      </c>
    </row>
    <row r="409" spans="3:25" x14ac:dyDescent="0.25">
      <c r="C409" s="17"/>
      <c r="G409" s="17"/>
      <c r="J409" s="17"/>
      <c r="M409" s="17"/>
      <c r="O409" s="17"/>
      <c r="Q409" s="17"/>
      <c r="T409" s="17"/>
      <c r="W409" s="15" t="str">
        <f t="shared" si="18"/>
        <v/>
      </c>
      <c r="X409" s="15" t="str">
        <f t="shared" si="19"/>
        <v/>
      </c>
      <c r="Y409" s="16" t="str">
        <f t="shared" ca="1" si="20"/>
        <v/>
      </c>
    </row>
    <row r="410" spans="3:25" x14ac:dyDescent="0.25">
      <c r="C410" s="17"/>
      <c r="G410" s="17"/>
      <c r="J410" s="17"/>
      <c r="M410" s="17"/>
      <c r="O410" s="17"/>
      <c r="Q410" s="17"/>
      <c r="T410" s="17"/>
      <c r="W410" s="15" t="str">
        <f t="shared" si="18"/>
        <v/>
      </c>
      <c r="X410" s="15" t="str">
        <f t="shared" si="19"/>
        <v/>
      </c>
      <c r="Y410" s="16" t="str">
        <f t="shared" ca="1" si="20"/>
        <v/>
      </c>
    </row>
    <row r="411" spans="3:25" x14ac:dyDescent="0.25">
      <c r="C411" s="17"/>
      <c r="G411" s="17"/>
      <c r="J411" s="17"/>
      <c r="M411" s="17"/>
      <c r="O411" s="17"/>
      <c r="Q411" s="17"/>
      <c r="T411" s="17"/>
      <c r="W411" s="15" t="str">
        <f t="shared" si="18"/>
        <v/>
      </c>
      <c r="X411" s="15" t="str">
        <f t="shared" si="19"/>
        <v/>
      </c>
      <c r="Y411" s="16" t="str">
        <f t="shared" ca="1" si="20"/>
        <v/>
      </c>
    </row>
    <row r="412" spans="3:25" x14ac:dyDescent="0.25">
      <c r="C412" s="17"/>
      <c r="G412" s="17"/>
      <c r="J412" s="17"/>
      <c r="M412" s="17"/>
      <c r="O412" s="17"/>
      <c r="Q412" s="17"/>
      <c r="T412" s="17"/>
      <c r="W412" s="15" t="str">
        <f t="shared" si="18"/>
        <v/>
      </c>
      <c r="X412" s="15" t="str">
        <f t="shared" si="19"/>
        <v/>
      </c>
      <c r="Y412" s="16" t="str">
        <f t="shared" ca="1" si="20"/>
        <v/>
      </c>
    </row>
    <row r="413" spans="3:25" x14ac:dyDescent="0.25">
      <c r="C413" s="17"/>
      <c r="G413" s="17"/>
      <c r="J413" s="17"/>
      <c r="M413" s="17"/>
      <c r="O413" s="17"/>
      <c r="Q413" s="17"/>
      <c r="T413" s="17"/>
      <c r="W413" s="15" t="str">
        <f t="shared" si="18"/>
        <v/>
      </c>
      <c r="X413" s="15" t="str">
        <f t="shared" si="19"/>
        <v/>
      </c>
      <c r="Y413" s="16" t="str">
        <f t="shared" ca="1" si="20"/>
        <v/>
      </c>
    </row>
    <row r="414" spans="3:25" x14ac:dyDescent="0.25">
      <c r="C414" s="17"/>
      <c r="G414" s="17"/>
      <c r="J414" s="17"/>
      <c r="M414" s="17"/>
      <c r="O414" s="17"/>
      <c r="Q414" s="17"/>
      <c r="T414" s="17"/>
      <c r="W414" s="15" t="str">
        <f t="shared" si="18"/>
        <v/>
      </c>
      <c r="X414" s="15" t="str">
        <f t="shared" si="19"/>
        <v/>
      </c>
      <c r="Y414" s="16" t="str">
        <f t="shared" ca="1" si="20"/>
        <v/>
      </c>
    </row>
    <row r="415" spans="3:25" x14ac:dyDescent="0.25">
      <c r="C415" s="17"/>
      <c r="G415" s="17"/>
      <c r="J415" s="17"/>
      <c r="M415" s="17"/>
      <c r="O415" s="17"/>
      <c r="Q415" s="17"/>
      <c r="T415" s="17"/>
      <c r="W415" s="15" t="str">
        <f t="shared" si="18"/>
        <v/>
      </c>
      <c r="X415" s="15" t="str">
        <f t="shared" si="19"/>
        <v/>
      </c>
      <c r="Y415" s="16" t="str">
        <f t="shared" ca="1" si="20"/>
        <v/>
      </c>
    </row>
    <row r="416" spans="3:25" x14ac:dyDescent="0.25">
      <c r="C416" s="17"/>
      <c r="G416" s="17"/>
      <c r="J416" s="17"/>
      <c r="M416" s="17"/>
      <c r="O416" s="17"/>
      <c r="Q416" s="17"/>
      <c r="T416" s="17"/>
      <c r="W416" s="15" t="str">
        <f t="shared" si="18"/>
        <v/>
      </c>
      <c r="X416" s="15" t="str">
        <f t="shared" si="19"/>
        <v/>
      </c>
      <c r="Y416" s="16" t="str">
        <f t="shared" ca="1" si="20"/>
        <v/>
      </c>
    </row>
    <row r="417" spans="3:25" x14ac:dyDescent="0.25">
      <c r="C417" s="17"/>
      <c r="G417" s="17"/>
      <c r="J417" s="17"/>
      <c r="M417" s="17"/>
      <c r="O417" s="17"/>
      <c r="Q417" s="17"/>
      <c r="T417" s="17"/>
      <c r="W417" s="15" t="str">
        <f t="shared" si="18"/>
        <v/>
      </c>
      <c r="X417" s="15" t="str">
        <f t="shared" si="19"/>
        <v/>
      </c>
      <c r="Y417" s="16" t="str">
        <f t="shared" ca="1" si="20"/>
        <v/>
      </c>
    </row>
    <row r="418" spans="3:25" x14ac:dyDescent="0.25">
      <c r="C418" s="17"/>
      <c r="G418" s="17"/>
      <c r="J418" s="17"/>
      <c r="M418" s="17"/>
      <c r="O418" s="17"/>
      <c r="Q418" s="17"/>
      <c r="T418" s="17"/>
      <c r="W418" s="15" t="str">
        <f t="shared" si="18"/>
        <v/>
      </c>
      <c r="X418" s="15" t="str">
        <f t="shared" si="19"/>
        <v/>
      </c>
      <c r="Y418" s="16" t="str">
        <f t="shared" ca="1" si="20"/>
        <v/>
      </c>
    </row>
    <row r="419" spans="3:25" x14ac:dyDescent="0.25">
      <c r="C419" s="17"/>
      <c r="G419" s="17"/>
      <c r="J419" s="17"/>
      <c r="M419" s="17"/>
      <c r="O419" s="17"/>
      <c r="Q419" s="17"/>
      <c r="T419" s="17"/>
      <c r="W419" s="15" t="str">
        <f t="shared" si="18"/>
        <v/>
      </c>
      <c r="X419" s="15" t="str">
        <f t="shared" si="19"/>
        <v/>
      </c>
      <c r="Y419" s="16" t="str">
        <f t="shared" ca="1" si="20"/>
        <v/>
      </c>
    </row>
    <row r="420" spans="3:25" x14ac:dyDescent="0.25">
      <c r="C420" s="17"/>
      <c r="G420" s="17"/>
      <c r="J420" s="17"/>
      <c r="M420" s="17"/>
      <c r="O420" s="17"/>
      <c r="Q420" s="17"/>
      <c r="T420" s="17"/>
      <c r="W420" s="15" t="str">
        <f t="shared" si="18"/>
        <v/>
      </c>
      <c r="X420" s="15" t="str">
        <f t="shared" si="19"/>
        <v/>
      </c>
      <c r="Y420" s="16" t="str">
        <f t="shared" ca="1" si="20"/>
        <v/>
      </c>
    </row>
    <row r="421" spans="3:25" x14ac:dyDescent="0.25">
      <c r="C421" s="17"/>
      <c r="G421" s="17"/>
      <c r="J421" s="17"/>
      <c r="M421" s="17"/>
      <c r="O421" s="17"/>
      <c r="Q421" s="17"/>
      <c r="T421" s="17"/>
      <c r="W421" s="15" t="str">
        <f t="shared" si="18"/>
        <v/>
      </c>
      <c r="X421" s="15" t="str">
        <f t="shared" si="19"/>
        <v/>
      </c>
      <c r="Y421" s="16" t="str">
        <f t="shared" ca="1" si="20"/>
        <v/>
      </c>
    </row>
    <row r="422" spans="3:25" x14ac:dyDescent="0.25">
      <c r="C422" s="17"/>
      <c r="G422" s="17"/>
      <c r="J422" s="17"/>
      <c r="M422" s="17"/>
      <c r="O422" s="17"/>
      <c r="Q422" s="17"/>
      <c r="T422" s="17"/>
      <c r="W422" s="15" t="str">
        <f t="shared" si="18"/>
        <v/>
      </c>
      <c r="X422" s="15" t="str">
        <f t="shared" si="19"/>
        <v/>
      </c>
      <c r="Y422" s="16" t="str">
        <f t="shared" ca="1" si="20"/>
        <v/>
      </c>
    </row>
    <row r="423" spans="3:25" x14ac:dyDescent="0.25">
      <c r="C423" s="17"/>
      <c r="G423" s="17"/>
      <c r="J423" s="17"/>
      <c r="M423" s="17"/>
      <c r="O423" s="17"/>
      <c r="Q423" s="17"/>
      <c r="T423" s="17"/>
      <c r="W423" s="15" t="str">
        <f t="shared" si="18"/>
        <v/>
      </c>
      <c r="X423" s="15" t="str">
        <f t="shared" si="19"/>
        <v/>
      </c>
      <c r="Y423" s="16" t="str">
        <f t="shared" ca="1" si="20"/>
        <v/>
      </c>
    </row>
    <row r="424" spans="3:25" x14ac:dyDescent="0.25">
      <c r="C424" s="17"/>
      <c r="G424" s="17"/>
      <c r="J424" s="17"/>
      <c r="M424" s="17"/>
      <c r="O424" s="17"/>
      <c r="Q424" s="17"/>
      <c r="T424" s="17"/>
      <c r="W424" s="15" t="str">
        <f t="shared" si="18"/>
        <v/>
      </c>
      <c r="X424" s="15" t="str">
        <f t="shared" si="19"/>
        <v/>
      </c>
      <c r="Y424" s="16" t="str">
        <f t="shared" ca="1" si="20"/>
        <v/>
      </c>
    </row>
    <row r="425" spans="3:25" x14ac:dyDescent="0.25">
      <c r="C425" s="17"/>
      <c r="G425" s="17"/>
      <c r="J425" s="17"/>
      <c r="M425" s="17"/>
      <c r="O425" s="17"/>
      <c r="Q425" s="17"/>
      <c r="T425" s="17"/>
      <c r="W425" s="15" t="str">
        <f t="shared" si="18"/>
        <v/>
      </c>
      <c r="X425" s="15" t="str">
        <f t="shared" si="19"/>
        <v/>
      </c>
      <c r="Y425" s="16" t="str">
        <f t="shared" ca="1" si="20"/>
        <v/>
      </c>
    </row>
    <row r="426" spans="3:25" x14ac:dyDescent="0.25">
      <c r="C426" s="17"/>
      <c r="G426" s="17"/>
      <c r="J426" s="17"/>
      <c r="M426" s="17"/>
      <c r="O426" s="17"/>
      <c r="Q426" s="17"/>
      <c r="T426" s="17"/>
      <c r="W426" s="15" t="str">
        <f t="shared" si="18"/>
        <v/>
      </c>
      <c r="X426" s="15" t="str">
        <f t="shared" si="19"/>
        <v/>
      </c>
      <c r="Y426" s="16" t="str">
        <f t="shared" ca="1" si="20"/>
        <v/>
      </c>
    </row>
    <row r="427" spans="3:25" x14ac:dyDescent="0.25">
      <c r="C427" s="17"/>
      <c r="G427" s="17"/>
      <c r="J427" s="17"/>
      <c r="M427" s="17"/>
      <c r="O427" s="17"/>
      <c r="Q427" s="17"/>
      <c r="T427" s="17"/>
      <c r="W427" s="15" t="str">
        <f t="shared" si="18"/>
        <v/>
      </c>
      <c r="X427" s="15" t="str">
        <f t="shared" si="19"/>
        <v/>
      </c>
      <c r="Y427" s="16" t="str">
        <f t="shared" ca="1" si="20"/>
        <v/>
      </c>
    </row>
    <row r="428" spans="3:25" x14ac:dyDescent="0.25">
      <c r="C428" s="17"/>
      <c r="G428" s="17"/>
      <c r="J428" s="17"/>
      <c r="M428" s="17"/>
      <c r="O428" s="17"/>
      <c r="Q428" s="17"/>
      <c r="T428" s="17"/>
      <c r="W428" s="15" t="str">
        <f t="shared" si="18"/>
        <v/>
      </c>
      <c r="X428" s="15" t="str">
        <f t="shared" si="19"/>
        <v/>
      </c>
      <c r="Y428" s="16" t="str">
        <f t="shared" ca="1" si="20"/>
        <v/>
      </c>
    </row>
    <row r="429" spans="3:25" x14ac:dyDescent="0.25">
      <c r="C429" s="17"/>
      <c r="G429" s="17"/>
      <c r="J429" s="17"/>
      <c r="M429" s="17"/>
      <c r="O429" s="17"/>
      <c r="Q429" s="17"/>
      <c r="T429" s="17"/>
      <c r="W429" s="15" t="str">
        <f t="shared" si="18"/>
        <v/>
      </c>
      <c r="X429" s="15" t="str">
        <f t="shared" si="19"/>
        <v/>
      </c>
      <c r="Y429" s="16" t="str">
        <f t="shared" ca="1" si="20"/>
        <v/>
      </c>
    </row>
    <row r="430" spans="3:25" x14ac:dyDescent="0.25">
      <c r="C430" s="17"/>
      <c r="G430" s="17"/>
      <c r="J430" s="17"/>
      <c r="M430" s="17"/>
      <c r="O430" s="17"/>
      <c r="Q430" s="17"/>
      <c r="T430" s="17"/>
      <c r="W430" s="15" t="str">
        <f t="shared" si="18"/>
        <v/>
      </c>
      <c r="X430" s="15" t="str">
        <f t="shared" si="19"/>
        <v/>
      </c>
      <c r="Y430" s="16" t="str">
        <f t="shared" ca="1" si="20"/>
        <v/>
      </c>
    </row>
    <row r="431" spans="3:25" x14ac:dyDescent="0.25">
      <c r="C431" s="17"/>
      <c r="G431" s="17"/>
      <c r="J431" s="17"/>
      <c r="M431" s="17"/>
      <c r="O431" s="17"/>
      <c r="Q431" s="17"/>
      <c r="T431" s="17"/>
      <c r="W431" s="15" t="str">
        <f t="shared" si="18"/>
        <v/>
      </c>
      <c r="X431" s="15" t="str">
        <f t="shared" si="19"/>
        <v/>
      </c>
      <c r="Y431" s="16" t="str">
        <f t="shared" ca="1" si="20"/>
        <v/>
      </c>
    </row>
    <row r="432" spans="3:25" x14ac:dyDescent="0.25">
      <c r="C432" s="17"/>
      <c r="G432" s="17"/>
      <c r="J432" s="17"/>
      <c r="M432" s="17"/>
      <c r="O432" s="17"/>
      <c r="Q432" s="17"/>
      <c r="T432" s="17"/>
      <c r="W432" s="15" t="str">
        <f t="shared" si="18"/>
        <v/>
      </c>
      <c r="X432" s="15" t="str">
        <f t="shared" si="19"/>
        <v/>
      </c>
      <c r="Y432" s="16" t="str">
        <f t="shared" ca="1" si="20"/>
        <v/>
      </c>
    </row>
    <row r="433" spans="3:25" x14ac:dyDescent="0.25">
      <c r="C433" s="17"/>
      <c r="G433" s="17"/>
      <c r="J433" s="17"/>
      <c r="M433" s="17"/>
      <c r="O433" s="17"/>
      <c r="Q433" s="17"/>
      <c r="T433" s="17"/>
      <c r="W433" s="15" t="str">
        <f t="shared" si="18"/>
        <v/>
      </c>
      <c r="X433" s="15" t="str">
        <f t="shared" si="19"/>
        <v/>
      </c>
      <c r="Y433" s="16" t="str">
        <f t="shared" ca="1" si="20"/>
        <v/>
      </c>
    </row>
    <row r="434" spans="3:25" x14ac:dyDescent="0.25">
      <c r="C434" s="17"/>
      <c r="G434" s="17"/>
      <c r="J434" s="17"/>
      <c r="M434" s="17"/>
      <c r="O434" s="17"/>
      <c r="Q434" s="17"/>
      <c r="T434" s="17"/>
      <c r="W434" s="15" t="str">
        <f t="shared" si="18"/>
        <v/>
      </c>
      <c r="X434" s="15" t="str">
        <f t="shared" si="19"/>
        <v/>
      </c>
      <c r="Y434" s="16" t="str">
        <f t="shared" ca="1" si="20"/>
        <v/>
      </c>
    </row>
    <row r="435" spans="3:25" x14ac:dyDescent="0.25">
      <c r="C435" s="17"/>
      <c r="G435" s="17"/>
      <c r="J435" s="17"/>
      <c r="M435" s="17"/>
      <c r="O435" s="17"/>
      <c r="Q435" s="17"/>
      <c r="T435" s="17"/>
      <c r="W435" s="15" t="str">
        <f t="shared" si="18"/>
        <v/>
      </c>
      <c r="X435" s="15" t="str">
        <f t="shared" si="19"/>
        <v/>
      </c>
      <c r="Y435" s="16" t="str">
        <f t="shared" ca="1" si="20"/>
        <v/>
      </c>
    </row>
    <row r="436" spans="3:25" x14ac:dyDescent="0.25">
      <c r="C436" s="17"/>
      <c r="G436" s="17"/>
      <c r="J436" s="17"/>
      <c r="M436" s="17"/>
      <c r="O436" s="17"/>
      <c r="Q436" s="17"/>
      <c r="T436" s="17"/>
      <c r="W436" s="15" t="str">
        <f t="shared" si="18"/>
        <v/>
      </c>
      <c r="X436" s="15" t="str">
        <f t="shared" si="19"/>
        <v/>
      </c>
      <c r="Y436" s="16" t="str">
        <f t="shared" ca="1" si="20"/>
        <v/>
      </c>
    </row>
    <row r="437" spans="3:25" x14ac:dyDescent="0.25">
      <c r="C437" s="17"/>
      <c r="G437" s="17"/>
      <c r="J437" s="17"/>
      <c r="M437" s="17"/>
      <c r="O437" s="17"/>
      <c r="Q437" s="17"/>
      <c r="T437" s="17"/>
      <c r="W437" s="15" t="str">
        <f t="shared" si="18"/>
        <v/>
      </c>
      <c r="X437" s="15" t="str">
        <f t="shared" si="19"/>
        <v/>
      </c>
      <c r="Y437" s="16" t="str">
        <f t="shared" ca="1" si="20"/>
        <v/>
      </c>
    </row>
    <row r="438" spans="3:25" x14ac:dyDescent="0.25">
      <c r="C438" s="17"/>
      <c r="G438" s="17"/>
      <c r="J438" s="17"/>
      <c r="M438" s="17"/>
      <c r="O438" s="17"/>
      <c r="Q438" s="17"/>
      <c r="T438" s="17"/>
      <c r="W438" s="15" t="str">
        <f t="shared" si="18"/>
        <v/>
      </c>
      <c r="X438" s="15" t="str">
        <f t="shared" si="19"/>
        <v/>
      </c>
      <c r="Y438" s="16" t="str">
        <f t="shared" ca="1" si="20"/>
        <v/>
      </c>
    </row>
    <row r="439" spans="3:25" x14ac:dyDescent="0.25">
      <c r="C439" s="17"/>
      <c r="G439" s="17"/>
      <c r="J439" s="17"/>
      <c r="M439" s="17"/>
      <c r="O439" s="17"/>
      <c r="Q439" s="17"/>
      <c r="T439" s="17"/>
      <c r="W439" s="15" t="str">
        <f t="shared" si="18"/>
        <v/>
      </c>
      <c r="X439" s="15" t="str">
        <f t="shared" si="19"/>
        <v/>
      </c>
      <c r="Y439" s="16" t="str">
        <f t="shared" ca="1" si="20"/>
        <v/>
      </c>
    </row>
    <row r="440" spans="3:25" x14ac:dyDescent="0.25">
      <c r="C440" s="17"/>
      <c r="G440" s="17"/>
      <c r="J440" s="17"/>
      <c r="M440" s="17"/>
      <c r="O440" s="17"/>
      <c r="Q440" s="17"/>
      <c r="T440" s="17"/>
      <c r="W440" s="15" t="str">
        <f t="shared" si="18"/>
        <v/>
      </c>
      <c r="X440" s="15" t="str">
        <f t="shared" si="19"/>
        <v/>
      </c>
      <c r="Y440" s="16" t="str">
        <f t="shared" ca="1" si="20"/>
        <v/>
      </c>
    </row>
    <row r="441" spans="3:25" x14ac:dyDescent="0.25">
      <c r="C441" s="17"/>
      <c r="G441" s="17"/>
      <c r="J441" s="17"/>
      <c r="M441" s="17"/>
      <c r="O441" s="17"/>
      <c r="Q441" s="17"/>
      <c r="T441" s="17"/>
      <c r="W441" s="15" t="str">
        <f t="shared" si="18"/>
        <v/>
      </c>
      <c r="X441" s="15" t="str">
        <f t="shared" si="19"/>
        <v/>
      </c>
      <c r="Y441" s="16" t="str">
        <f t="shared" ca="1" si="20"/>
        <v/>
      </c>
    </row>
    <row r="442" spans="3:25" x14ac:dyDescent="0.25">
      <c r="C442" s="17"/>
      <c r="G442" s="17"/>
      <c r="J442" s="17"/>
      <c r="M442" s="17"/>
      <c r="O442" s="17"/>
      <c r="Q442" s="17"/>
      <c r="T442" s="17"/>
      <c r="W442" s="15" t="str">
        <f t="shared" si="18"/>
        <v/>
      </c>
      <c r="X442" s="15" t="str">
        <f t="shared" si="19"/>
        <v/>
      </c>
      <c r="Y442" s="16" t="str">
        <f t="shared" ca="1" si="20"/>
        <v/>
      </c>
    </row>
    <row r="443" spans="3:25" x14ac:dyDescent="0.25">
      <c r="C443" s="17"/>
      <c r="G443" s="17"/>
      <c r="J443" s="17"/>
      <c r="M443" s="17"/>
      <c r="O443" s="17"/>
      <c r="Q443" s="17"/>
      <c r="T443" s="17"/>
      <c r="W443" s="15" t="str">
        <f t="shared" si="18"/>
        <v/>
      </c>
      <c r="X443" s="15" t="str">
        <f t="shared" si="19"/>
        <v/>
      </c>
      <c r="Y443" s="16" t="str">
        <f t="shared" ca="1" si="20"/>
        <v/>
      </c>
    </row>
    <row r="444" spans="3:25" x14ac:dyDescent="0.25">
      <c r="C444" s="17"/>
      <c r="G444" s="17"/>
      <c r="J444" s="17"/>
      <c r="M444" s="17"/>
      <c r="O444" s="17"/>
      <c r="Q444" s="17"/>
      <c r="T444" s="17"/>
      <c r="W444" s="15" t="str">
        <f t="shared" si="18"/>
        <v/>
      </c>
      <c r="X444" s="15" t="str">
        <f t="shared" si="19"/>
        <v/>
      </c>
      <c r="Y444" s="16" t="str">
        <f t="shared" ca="1" si="20"/>
        <v/>
      </c>
    </row>
    <row r="445" spans="3:25" x14ac:dyDescent="0.25">
      <c r="C445" s="17"/>
      <c r="G445" s="17"/>
      <c r="J445" s="17"/>
      <c r="M445" s="17"/>
      <c r="O445" s="17"/>
      <c r="Q445" s="17"/>
      <c r="T445" s="17"/>
      <c r="W445" s="15" t="str">
        <f t="shared" si="18"/>
        <v/>
      </c>
      <c r="X445" s="15" t="str">
        <f t="shared" si="19"/>
        <v/>
      </c>
      <c r="Y445" s="16" t="str">
        <f t="shared" ca="1" si="20"/>
        <v/>
      </c>
    </row>
    <row r="446" spans="3:25" x14ac:dyDescent="0.25">
      <c r="C446" s="17"/>
      <c r="G446" s="17"/>
      <c r="J446" s="17"/>
      <c r="M446" s="17"/>
      <c r="O446" s="17"/>
      <c r="Q446" s="17"/>
      <c r="T446" s="17"/>
      <c r="W446" s="15" t="str">
        <f t="shared" si="18"/>
        <v/>
      </c>
      <c r="X446" s="15" t="str">
        <f t="shared" si="19"/>
        <v/>
      </c>
      <c r="Y446" s="16" t="str">
        <f t="shared" ca="1" si="20"/>
        <v/>
      </c>
    </row>
    <row r="447" spans="3:25" x14ac:dyDescent="0.25">
      <c r="C447" s="17"/>
      <c r="G447" s="17"/>
      <c r="J447" s="17"/>
      <c r="M447" s="17"/>
      <c r="O447" s="17"/>
      <c r="Q447" s="17"/>
      <c r="T447" s="17"/>
      <c r="W447" s="15" t="str">
        <f t="shared" si="18"/>
        <v/>
      </c>
      <c r="X447" s="15" t="str">
        <f t="shared" si="19"/>
        <v/>
      </c>
      <c r="Y447" s="16" t="str">
        <f t="shared" ca="1" si="20"/>
        <v/>
      </c>
    </row>
    <row r="448" spans="3:25" x14ac:dyDescent="0.25">
      <c r="C448" s="17"/>
      <c r="G448" s="17"/>
      <c r="J448" s="17"/>
      <c r="M448" s="17"/>
      <c r="O448" s="17"/>
      <c r="Q448" s="17"/>
      <c r="T448" s="17"/>
      <c r="W448" s="15" t="str">
        <f t="shared" si="18"/>
        <v/>
      </c>
      <c r="X448" s="15" t="str">
        <f t="shared" si="19"/>
        <v/>
      </c>
      <c r="Y448" s="16" t="str">
        <f t="shared" ca="1" si="20"/>
        <v/>
      </c>
    </row>
    <row r="449" spans="3:25" x14ac:dyDescent="0.25">
      <c r="C449" s="17"/>
      <c r="G449" s="17"/>
      <c r="J449" s="17"/>
      <c r="M449" s="17"/>
      <c r="O449" s="17"/>
      <c r="Q449" s="17"/>
      <c r="T449" s="17"/>
      <c r="W449" s="15" t="str">
        <f t="shared" si="18"/>
        <v/>
      </c>
      <c r="X449" s="15" t="str">
        <f t="shared" si="19"/>
        <v/>
      </c>
      <c r="Y449" s="16" t="str">
        <f t="shared" ca="1" si="20"/>
        <v/>
      </c>
    </row>
    <row r="450" spans="3:25" x14ac:dyDescent="0.25">
      <c r="C450" s="17"/>
      <c r="G450" s="17"/>
      <c r="J450" s="17"/>
      <c r="M450" s="17"/>
      <c r="O450" s="17"/>
      <c r="Q450" s="17"/>
      <c r="T450" s="17"/>
      <c r="W450" s="15" t="str">
        <f t="shared" ref="W450:W500" si="21">IF($A450="","",IF($U450="Accepted","Hired",IF($S450="Yes","Offer",IF(OR($R450="In Progress",$R450="Completed"),"Reference",IF(OR($P450="Yes",$O450&lt;&gt;""),"Assessment",IF(OR($M450&lt;&gt;"",$L450&lt;&gt;"",$K450&lt;&gt;""),"Partner",IF(OR($J450&lt;&gt;"",$I450&lt;&gt;"",$H450&lt;&gt;""),"First Round",IF($F450="Yes","Screened","Contacted"))))))))</f>
        <v/>
      </c>
      <c r="X450" s="15" t="str">
        <f t="shared" ref="X450:X500" si="22">IF($A450="","",IF(OR($U450="Accepted",$U450="Declined",$H450="Rejected",$K450="Rejected"),"Closed","Active"))</f>
        <v/>
      </c>
      <c r="Y450" s="16" t="str">
        <f t="shared" ref="Y450:Y500" ca="1" si="23">IF($C450="","",TODAY()-$C450)</f>
        <v/>
      </c>
    </row>
    <row r="451" spans="3:25" x14ac:dyDescent="0.25">
      <c r="C451" s="17"/>
      <c r="G451" s="17"/>
      <c r="J451" s="17"/>
      <c r="M451" s="17"/>
      <c r="O451" s="17"/>
      <c r="Q451" s="17"/>
      <c r="T451" s="17"/>
      <c r="W451" s="15" t="str">
        <f t="shared" si="21"/>
        <v/>
      </c>
      <c r="X451" s="15" t="str">
        <f t="shared" si="22"/>
        <v/>
      </c>
      <c r="Y451" s="16" t="str">
        <f t="shared" ca="1" si="23"/>
        <v/>
      </c>
    </row>
    <row r="452" spans="3:25" x14ac:dyDescent="0.25">
      <c r="C452" s="17"/>
      <c r="G452" s="17"/>
      <c r="J452" s="17"/>
      <c r="M452" s="17"/>
      <c r="O452" s="17"/>
      <c r="Q452" s="17"/>
      <c r="T452" s="17"/>
      <c r="W452" s="15" t="str">
        <f t="shared" si="21"/>
        <v/>
      </c>
      <c r="X452" s="15" t="str">
        <f t="shared" si="22"/>
        <v/>
      </c>
      <c r="Y452" s="16" t="str">
        <f t="shared" ca="1" si="23"/>
        <v/>
      </c>
    </row>
    <row r="453" spans="3:25" x14ac:dyDescent="0.25">
      <c r="C453" s="17"/>
      <c r="G453" s="17"/>
      <c r="J453" s="17"/>
      <c r="M453" s="17"/>
      <c r="O453" s="17"/>
      <c r="Q453" s="17"/>
      <c r="T453" s="17"/>
      <c r="W453" s="15" t="str">
        <f t="shared" si="21"/>
        <v/>
      </c>
      <c r="X453" s="15" t="str">
        <f t="shared" si="22"/>
        <v/>
      </c>
      <c r="Y453" s="16" t="str">
        <f t="shared" ca="1" si="23"/>
        <v/>
      </c>
    </row>
    <row r="454" spans="3:25" x14ac:dyDescent="0.25">
      <c r="C454" s="17"/>
      <c r="G454" s="17"/>
      <c r="J454" s="17"/>
      <c r="M454" s="17"/>
      <c r="O454" s="17"/>
      <c r="Q454" s="17"/>
      <c r="T454" s="17"/>
      <c r="W454" s="15" t="str">
        <f t="shared" si="21"/>
        <v/>
      </c>
      <c r="X454" s="15" t="str">
        <f t="shared" si="22"/>
        <v/>
      </c>
      <c r="Y454" s="16" t="str">
        <f t="shared" ca="1" si="23"/>
        <v/>
      </c>
    </row>
    <row r="455" spans="3:25" x14ac:dyDescent="0.25">
      <c r="C455" s="17"/>
      <c r="G455" s="17"/>
      <c r="J455" s="17"/>
      <c r="M455" s="17"/>
      <c r="O455" s="17"/>
      <c r="Q455" s="17"/>
      <c r="T455" s="17"/>
      <c r="W455" s="15" t="str">
        <f t="shared" si="21"/>
        <v/>
      </c>
      <c r="X455" s="15" t="str">
        <f t="shared" si="22"/>
        <v/>
      </c>
      <c r="Y455" s="16" t="str">
        <f t="shared" ca="1" si="23"/>
        <v/>
      </c>
    </row>
    <row r="456" spans="3:25" x14ac:dyDescent="0.25">
      <c r="C456" s="17"/>
      <c r="G456" s="17"/>
      <c r="J456" s="17"/>
      <c r="M456" s="17"/>
      <c r="O456" s="17"/>
      <c r="Q456" s="17"/>
      <c r="T456" s="17"/>
      <c r="W456" s="15" t="str">
        <f t="shared" si="21"/>
        <v/>
      </c>
      <c r="X456" s="15" t="str">
        <f t="shared" si="22"/>
        <v/>
      </c>
      <c r="Y456" s="16" t="str">
        <f t="shared" ca="1" si="23"/>
        <v/>
      </c>
    </row>
    <row r="457" spans="3:25" x14ac:dyDescent="0.25">
      <c r="C457" s="17"/>
      <c r="G457" s="17"/>
      <c r="J457" s="17"/>
      <c r="M457" s="17"/>
      <c r="O457" s="17"/>
      <c r="Q457" s="17"/>
      <c r="T457" s="17"/>
      <c r="W457" s="15" t="str">
        <f t="shared" si="21"/>
        <v/>
      </c>
      <c r="X457" s="15" t="str">
        <f t="shared" si="22"/>
        <v/>
      </c>
      <c r="Y457" s="16" t="str">
        <f t="shared" ca="1" si="23"/>
        <v/>
      </c>
    </row>
    <row r="458" spans="3:25" x14ac:dyDescent="0.25">
      <c r="C458" s="17"/>
      <c r="G458" s="17"/>
      <c r="J458" s="17"/>
      <c r="M458" s="17"/>
      <c r="O458" s="17"/>
      <c r="Q458" s="17"/>
      <c r="T458" s="17"/>
      <c r="W458" s="15" t="str">
        <f t="shared" si="21"/>
        <v/>
      </c>
      <c r="X458" s="15" t="str">
        <f t="shared" si="22"/>
        <v/>
      </c>
      <c r="Y458" s="16" t="str">
        <f t="shared" ca="1" si="23"/>
        <v/>
      </c>
    </row>
    <row r="459" spans="3:25" x14ac:dyDescent="0.25">
      <c r="C459" s="17"/>
      <c r="G459" s="17"/>
      <c r="J459" s="17"/>
      <c r="M459" s="17"/>
      <c r="O459" s="17"/>
      <c r="Q459" s="17"/>
      <c r="T459" s="17"/>
      <c r="W459" s="15" t="str">
        <f t="shared" si="21"/>
        <v/>
      </c>
      <c r="X459" s="15" t="str">
        <f t="shared" si="22"/>
        <v/>
      </c>
      <c r="Y459" s="16" t="str">
        <f t="shared" ca="1" si="23"/>
        <v/>
      </c>
    </row>
    <row r="460" spans="3:25" x14ac:dyDescent="0.25">
      <c r="C460" s="17"/>
      <c r="G460" s="17"/>
      <c r="J460" s="17"/>
      <c r="M460" s="17"/>
      <c r="O460" s="17"/>
      <c r="Q460" s="17"/>
      <c r="T460" s="17"/>
      <c r="W460" s="15" t="str">
        <f t="shared" si="21"/>
        <v/>
      </c>
      <c r="X460" s="15" t="str">
        <f t="shared" si="22"/>
        <v/>
      </c>
      <c r="Y460" s="16" t="str">
        <f t="shared" ca="1" si="23"/>
        <v/>
      </c>
    </row>
    <row r="461" spans="3:25" x14ac:dyDescent="0.25">
      <c r="C461" s="17"/>
      <c r="G461" s="17"/>
      <c r="J461" s="17"/>
      <c r="M461" s="17"/>
      <c r="O461" s="17"/>
      <c r="Q461" s="17"/>
      <c r="T461" s="17"/>
      <c r="W461" s="15" t="str">
        <f t="shared" si="21"/>
        <v/>
      </c>
      <c r="X461" s="15" t="str">
        <f t="shared" si="22"/>
        <v/>
      </c>
      <c r="Y461" s="16" t="str">
        <f t="shared" ca="1" si="23"/>
        <v/>
      </c>
    </row>
    <row r="462" spans="3:25" x14ac:dyDescent="0.25">
      <c r="C462" s="17"/>
      <c r="G462" s="17"/>
      <c r="J462" s="17"/>
      <c r="M462" s="17"/>
      <c r="O462" s="17"/>
      <c r="Q462" s="17"/>
      <c r="T462" s="17"/>
      <c r="W462" s="15" t="str">
        <f t="shared" si="21"/>
        <v/>
      </c>
      <c r="X462" s="15" t="str">
        <f t="shared" si="22"/>
        <v/>
      </c>
      <c r="Y462" s="16" t="str">
        <f t="shared" ca="1" si="23"/>
        <v/>
      </c>
    </row>
    <row r="463" spans="3:25" x14ac:dyDescent="0.25">
      <c r="C463" s="17"/>
      <c r="G463" s="17"/>
      <c r="J463" s="17"/>
      <c r="M463" s="17"/>
      <c r="O463" s="17"/>
      <c r="Q463" s="17"/>
      <c r="T463" s="17"/>
      <c r="W463" s="15" t="str">
        <f t="shared" si="21"/>
        <v/>
      </c>
      <c r="X463" s="15" t="str">
        <f t="shared" si="22"/>
        <v/>
      </c>
      <c r="Y463" s="16" t="str">
        <f t="shared" ca="1" si="23"/>
        <v/>
      </c>
    </row>
    <row r="464" spans="3:25" x14ac:dyDescent="0.25">
      <c r="C464" s="17"/>
      <c r="G464" s="17"/>
      <c r="J464" s="17"/>
      <c r="M464" s="17"/>
      <c r="O464" s="17"/>
      <c r="Q464" s="17"/>
      <c r="T464" s="17"/>
      <c r="W464" s="15" t="str">
        <f t="shared" si="21"/>
        <v/>
      </c>
      <c r="X464" s="15" t="str">
        <f t="shared" si="22"/>
        <v/>
      </c>
      <c r="Y464" s="16" t="str">
        <f t="shared" ca="1" si="23"/>
        <v/>
      </c>
    </row>
    <row r="465" spans="3:25" x14ac:dyDescent="0.25">
      <c r="C465" s="17"/>
      <c r="G465" s="17"/>
      <c r="J465" s="17"/>
      <c r="M465" s="17"/>
      <c r="O465" s="17"/>
      <c r="Q465" s="17"/>
      <c r="T465" s="17"/>
      <c r="W465" s="15" t="str">
        <f t="shared" si="21"/>
        <v/>
      </c>
      <c r="X465" s="15" t="str">
        <f t="shared" si="22"/>
        <v/>
      </c>
      <c r="Y465" s="16" t="str">
        <f t="shared" ca="1" si="23"/>
        <v/>
      </c>
    </row>
    <row r="466" spans="3:25" x14ac:dyDescent="0.25">
      <c r="C466" s="17"/>
      <c r="G466" s="17"/>
      <c r="J466" s="17"/>
      <c r="M466" s="17"/>
      <c r="O466" s="17"/>
      <c r="Q466" s="17"/>
      <c r="T466" s="17"/>
      <c r="W466" s="15" t="str">
        <f t="shared" si="21"/>
        <v/>
      </c>
      <c r="X466" s="15" t="str">
        <f t="shared" si="22"/>
        <v/>
      </c>
      <c r="Y466" s="16" t="str">
        <f t="shared" ca="1" si="23"/>
        <v/>
      </c>
    </row>
    <row r="467" spans="3:25" x14ac:dyDescent="0.25">
      <c r="C467" s="17"/>
      <c r="G467" s="17"/>
      <c r="J467" s="17"/>
      <c r="M467" s="17"/>
      <c r="O467" s="17"/>
      <c r="Q467" s="17"/>
      <c r="T467" s="17"/>
      <c r="W467" s="15" t="str">
        <f t="shared" si="21"/>
        <v/>
      </c>
      <c r="X467" s="15" t="str">
        <f t="shared" si="22"/>
        <v/>
      </c>
      <c r="Y467" s="16" t="str">
        <f t="shared" ca="1" si="23"/>
        <v/>
      </c>
    </row>
    <row r="468" spans="3:25" x14ac:dyDescent="0.25">
      <c r="C468" s="17"/>
      <c r="G468" s="17"/>
      <c r="J468" s="17"/>
      <c r="M468" s="17"/>
      <c r="O468" s="17"/>
      <c r="Q468" s="17"/>
      <c r="T468" s="17"/>
      <c r="W468" s="15" t="str">
        <f t="shared" si="21"/>
        <v/>
      </c>
      <c r="X468" s="15" t="str">
        <f t="shared" si="22"/>
        <v/>
      </c>
      <c r="Y468" s="16" t="str">
        <f t="shared" ca="1" si="23"/>
        <v/>
      </c>
    </row>
    <row r="469" spans="3:25" x14ac:dyDescent="0.25">
      <c r="C469" s="17"/>
      <c r="G469" s="17"/>
      <c r="J469" s="17"/>
      <c r="M469" s="17"/>
      <c r="O469" s="17"/>
      <c r="Q469" s="17"/>
      <c r="T469" s="17"/>
      <c r="W469" s="15" t="str">
        <f t="shared" si="21"/>
        <v/>
      </c>
      <c r="X469" s="15" t="str">
        <f t="shared" si="22"/>
        <v/>
      </c>
      <c r="Y469" s="16" t="str">
        <f t="shared" ca="1" si="23"/>
        <v/>
      </c>
    </row>
    <row r="470" spans="3:25" x14ac:dyDescent="0.25">
      <c r="C470" s="17"/>
      <c r="G470" s="17"/>
      <c r="J470" s="17"/>
      <c r="M470" s="17"/>
      <c r="O470" s="17"/>
      <c r="Q470" s="17"/>
      <c r="T470" s="17"/>
      <c r="W470" s="15" t="str">
        <f t="shared" si="21"/>
        <v/>
      </c>
      <c r="X470" s="15" t="str">
        <f t="shared" si="22"/>
        <v/>
      </c>
      <c r="Y470" s="16" t="str">
        <f t="shared" ca="1" si="23"/>
        <v/>
      </c>
    </row>
    <row r="471" spans="3:25" x14ac:dyDescent="0.25">
      <c r="C471" s="17"/>
      <c r="G471" s="17"/>
      <c r="J471" s="17"/>
      <c r="M471" s="17"/>
      <c r="O471" s="17"/>
      <c r="Q471" s="17"/>
      <c r="T471" s="17"/>
      <c r="W471" s="15" t="str">
        <f t="shared" si="21"/>
        <v/>
      </c>
      <c r="X471" s="15" t="str">
        <f t="shared" si="22"/>
        <v/>
      </c>
      <c r="Y471" s="16" t="str">
        <f t="shared" ca="1" si="23"/>
        <v/>
      </c>
    </row>
    <row r="472" spans="3:25" x14ac:dyDescent="0.25">
      <c r="C472" s="17"/>
      <c r="G472" s="17"/>
      <c r="J472" s="17"/>
      <c r="M472" s="17"/>
      <c r="O472" s="17"/>
      <c r="Q472" s="17"/>
      <c r="T472" s="17"/>
      <c r="W472" s="15" t="str">
        <f t="shared" si="21"/>
        <v/>
      </c>
      <c r="X472" s="15" t="str">
        <f t="shared" si="22"/>
        <v/>
      </c>
      <c r="Y472" s="16" t="str">
        <f t="shared" ca="1" si="23"/>
        <v/>
      </c>
    </row>
    <row r="473" spans="3:25" x14ac:dyDescent="0.25">
      <c r="C473" s="17"/>
      <c r="G473" s="17"/>
      <c r="J473" s="17"/>
      <c r="M473" s="17"/>
      <c r="O473" s="17"/>
      <c r="Q473" s="17"/>
      <c r="T473" s="17"/>
      <c r="W473" s="15" t="str">
        <f t="shared" si="21"/>
        <v/>
      </c>
      <c r="X473" s="15" t="str">
        <f t="shared" si="22"/>
        <v/>
      </c>
      <c r="Y473" s="16" t="str">
        <f t="shared" ca="1" si="23"/>
        <v/>
      </c>
    </row>
    <row r="474" spans="3:25" x14ac:dyDescent="0.25">
      <c r="C474" s="17"/>
      <c r="G474" s="17"/>
      <c r="J474" s="17"/>
      <c r="M474" s="17"/>
      <c r="O474" s="17"/>
      <c r="Q474" s="17"/>
      <c r="T474" s="17"/>
      <c r="W474" s="15" t="str">
        <f t="shared" si="21"/>
        <v/>
      </c>
      <c r="X474" s="15" t="str">
        <f t="shared" si="22"/>
        <v/>
      </c>
      <c r="Y474" s="16" t="str">
        <f t="shared" ca="1" si="23"/>
        <v/>
      </c>
    </row>
    <row r="475" spans="3:25" x14ac:dyDescent="0.25">
      <c r="C475" s="17"/>
      <c r="G475" s="17"/>
      <c r="J475" s="17"/>
      <c r="M475" s="17"/>
      <c r="O475" s="17"/>
      <c r="Q475" s="17"/>
      <c r="T475" s="17"/>
      <c r="W475" s="15" t="str">
        <f t="shared" si="21"/>
        <v/>
      </c>
      <c r="X475" s="15" t="str">
        <f t="shared" si="22"/>
        <v/>
      </c>
      <c r="Y475" s="16" t="str">
        <f t="shared" ca="1" si="23"/>
        <v/>
      </c>
    </row>
    <row r="476" spans="3:25" x14ac:dyDescent="0.25">
      <c r="C476" s="17"/>
      <c r="G476" s="17"/>
      <c r="J476" s="17"/>
      <c r="M476" s="17"/>
      <c r="O476" s="17"/>
      <c r="Q476" s="17"/>
      <c r="T476" s="17"/>
      <c r="W476" s="15" t="str">
        <f t="shared" si="21"/>
        <v/>
      </c>
      <c r="X476" s="15" t="str">
        <f t="shared" si="22"/>
        <v/>
      </c>
      <c r="Y476" s="16" t="str">
        <f t="shared" ca="1" si="23"/>
        <v/>
      </c>
    </row>
    <row r="477" spans="3:25" x14ac:dyDescent="0.25">
      <c r="C477" s="17"/>
      <c r="G477" s="17"/>
      <c r="J477" s="17"/>
      <c r="M477" s="17"/>
      <c r="O477" s="17"/>
      <c r="Q477" s="17"/>
      <c r="T477" s="17"/>
      <c r="W477" s="15" t="str">
        <f t="shared" si="21"/>
        <v/>
      </c>
      <c r="X477" s="15" t="str">
        <f t="shared" si="22"/>
        <v/>
      </c>
      <c r="Y477" s="16" t="str">
        <f t="shared" ca="1" si="23"/>
        <v/>
      </c>
    </row>
    <row r="478" spans="3:25" x14ac:dyDescent="0.25">
      <c r="C478" s="17"/>
      <c r="G478" s="17"/>
      <c r="J478" s="17"/>
      <c r="M478" s="17"/>
      <c r="O478" s="17"/>
      <c r="Q478" s="17"/>
      <c r="T478" s="17"/>
      <c r="W478" s="15" t="str">
        <f t="shared" si="21"/>
        <v/>
      </c>
      <c r="X478" s="15" t="str">
        <f t="shared" si="22"/>
        <v/>
      </c>
      <c r="Y478" s="16" t="str">
        <f t="shared" ca="1" si="23"/>
        <v/>
      </c>
    </row>
    <row r="479" spans="3:25" x14ac:dyDescent="0.25">
      <c r="C479" s="17"/>
      <c r="G479" s="17"/>
      <c r="J479" s="17"/>
      <c r="M479" s="17"/>
      <c r="O479" s="17"/>
      <c r="Q479" s="17"/>
      <c r="T479" s="17"/>
      <c r="W479" s="15" t="str">
        <f t="shared" si="21"/>
        <v/>
      </c>
      <c r="X479" s="15" t="str">
        <f t="shared" si="22"/>
        <v/>
      </c>
      <c r="Y479" s="16" t="str">
        <f t="shared" ca="1" si="23"/>
        <v/>
      </c>
    </row>
    <row r="480" spans="3:25" x14ac:dyDescent="0.25">
      <c r="C480" s="17"/>
      <c r="G480" s="17"/>
      <c r="J480" s="17"/>
      <c r="M480" s="17"/>
      <c r="O480" s="17"/>
      <c r="Q480" s="17"/>
      <c r="T480" s="17"/>
      <c r="W480" s="15" t="str">
        <f t="shared" si="21"/>
        <v/>
      </c>
      <c r="X480" s="15" t="str">
        <f t="shared" si="22"/>
        <v/>
      </c>
      <c r="Y480" s="16" t="str">
        <f t="shared" ca="1" si="23"/>
        <v/>
      </c>
    </row>
    <row r="481" spans="3:25" x14ac:dyDescent="0.25">
      <c r="C481" s="17"/>
      <c r="G481" s="17"/>
      <c r="J481" s="17"/>
      <c r="M481" s="17"/>
      <c r="O481" s="17"/>
      <c r="Q481" s="17"/>
      <c r="T481" s="17"/>
      <c r="W481" s="15" t="str">
        <f t="shared" si="21"/>
        <v/>
      </c>
      <c r="X481" s="15" t="str">
        <f t="shared" si="22"/>
        <v/>
      </c>
      <c r="Y481" s="16" t="str">
        <f t="shared" ca="1" si="23"/>
        <v/>
      </c>
    </row>
    <row r="482" spans="3:25" x14ac:dyDescent="0.25">
      <c r="C482" s="17"/>
      <c r="G482" s="17"/>
      <c r="J482" s="17"/>
      <c r="M482" s="17"/>
      <c r="O482" s="17"/>
      <c r="Q482" s="17"/>
      <c r="T482" s="17"/>
      <c r="W482" s="15" t="str">
        <f t="shared" si="21"/>
        <v/>
      </c>
      <c r="X482" s="15" t="str">
        <f t="shared" si="22"/>
        <v/>
      </c>
      <c r="Y482" s="16" t="str">
        <f t="shared" ca="1" si="23"/>
        <v/>
      </c>
    </row>
    <row r="483" spans="3:25" x14ac:dyDescent="0.25">
      <c r="C483" s="17"/>
      <c r="G483" s="17"/>
      <c r="J483" s="17"/>
      <c r="M483" s="17"/>
      <c r="O483" s="17"/>
      <c r="Q483" s="17"/>
      <c r="T483" s="17"/>
      <c r="W483" s="15" t="str">
        <f t="shared" si="21"/>
        <v/>
      </c>
      <c r="X483" s="15" t="str">
        <f t="shared" si="22"/>
        <v/>
      </c>
      <c r="Y483" s="16" t="str">
        <f t="shared" ca="1" si="23"/>
        <v/>
      </c>
    </row>
    <row r="484" spans="3:25" x14ac:dyDescent="0.25">
      <c r="C484" s="17"/>
      <c r="G484" s="17"/>
      <c r="J484" s="17"/>
      <c r="M484" s="17"/>
      <c r="O484" s="17"/>
      <c r="Q484" s="17"/>
      <c r="T484" s="17"/>
      <c r="W484" s="15" t="str">
        <f t="shared" si="21"/>
        <v/>
      </c>
      <c r="X484" s="15" t="str">
        <f t="shared" si="22"/>
        <v/>
      </c>
      <c r="Y484" s="16" t="str">
        <f t="shared" ca="1" si="23"/>
        <v/>
      </c>
    </row>
    <row r="485" spans="3:25" x14ac:dyDescent="0.25">
      <c r="C485" s="17"/>
      <c r="G485" s="17"/>
      <c r="J485" s="17"/>
      <c r="M485" s="17"/>
      <c r="O485" s="17"/>
      <c r="Q485" s="17"/>
      <c r="T485" s="17"/>
      <c r="W485" s="15" t="str">
        <f t="shared" si="21"/>
        <v/>
      </c>
      <c r="X485" s="15" t="str">
        <f t="shared" si="22"/>
        <v/>
      </c>
      <c r="Y485" s="16" t="str">
        <f t="shared" ca="1" si="23"/>
        <v/>
      </c>
    </row>
    <row r="486" spans="3:25" x14ac:dyDescent="0.25">
      <c r="C486" s="17"/>
      <c r="G486" s="17"/>
      <c r="J486" s="17"/>
      <c r="M486" s="17"/>
      <c r="O486" s="17"/>
      <c r="Q486" s="17"/>
      <c r="T486" s="17"/>
      <c r="W486" s="15" t="str">
        <f t="shared" si="21"/>
        <v/>
      </c>
      <c r="X486" s="15" t="str">
        <f t="shared" si="22"/>
        <v/>
      </c>
      <c r="Y486" s="16" t="str">
        <f t="shared" ca="1" si="23"/>
        <v/>
      </c>
    </row>
    <row r="487" spans="3:25" x14ac:dyDescent="0.25">
      <c r="C487" s="17"/>
      <c r="G487" s="17"/>
      <c r="J487" s="17"/>
      <c r="M487" s="17"/>
      <c r="O487" s="17"/>
      <c r="Q487" s="17"/>
      <c r="T487" s="17"/>
      <c r="W487" s="15" t="str">
        <f t="shared" si="21"/>
        <v/>
      </c>
      <c r="X487" s="15" t="str">
        <f t="shared" si="22"/>
        <v/>
      </c>
      <c r="Y487" s="16" t="str">
        <f t="shared" ca="1" si="23"/>
        <v/>
      </c>
    </row>
    <row r="488" spans="3:25" x14ac:dyDescent="0.25">
      <c r="C488" s="17"/>
      <c r="G488" s="17"/>
      <c r="J488" s="17"/>
      <c r="M488" s="17"/>
      <c r="O488" s="17"/>
      <c r="Q488" s="17"/>
      <c r="T488" s="17"/>
      <c r="W488" s="15" t="str">
        <f t="shared" si="21"/>
        <v/>
      </c>
      <c r="X488" s="15" t="str">
        <f t="shared" si="22"/>
        <v/>
      </c>
      <c r="Y488" s="16" t="str">
        <f t="shared" ca="1" si="23"/>
        <v/>
      </c>
    </row>
    <row r="489" spans="3:25" x14ac:dyDescent="0.25">
      <c r="C489" s="17"/>
      <c r="G489" s="17"/>
      <c r="J489" s="17"/>
      <c r="M489" s="17"/>
      <c r="O489" s="17"/>
      <c r="Q489" s="17"/>
      <c r="T489" s="17"/>
      <c r="W489" s="15" t="str">
        <f t="shared" si="21"/>
        <v/>
      </c>
      <c r="X489" s="15" t="str">
        <f t="shared" si="22"/>
        <v/>
      </c>
      <c r="Y489" s="16" t="str">
        <f t="shared" ca="1" si="23"/>
        <v/>
      </c>
    </row>
    <row r="490" spans="3:25" x14ac:dyDescent="0.25">
      <c r="C490" s="17"/>
      <c r="G490" s="17"/>
      <c r="J490" s="17"/>
      <c r="M490" s="17"/>
      <c r="O490" s="17"/>
      <c r="Q490" s="17"/>
      <c r="T490" s="17"/>
      <c r="W490" s="15" t="str">
        <f t="shared" si="21"/>
        <v/>
      </c>
      <c r="X490" s="15" t="str">
        <f t="shared" si="22"/>
        <v/>
      </c>
      <c r="Y490" s="16" t="str">
        <f t="shared" ca="1" si="23"/>
        <v/>
      </c>
    </row>
    <row r="491" spans="3:25" x14ac:dyDescent="0.25">
      <c r="C491" s="17"/>
      <c r="G491" s="17"/>
      <c r="J491" s="17"/>
      <c r="M491" s="17"/>
      <c r="O491" s="17"/>
      <c r="Q491" s="17"/>
      <c r="T491" s="17"/>
      <c r="W491" s="15" t="str">
        <f t="shared" si="21"/>
        <v/>
      </c>
      <c r="X491" s="15" t="str">
        <f t="shared" si="22"/>
        <v/>
      </c>
      <c r="Y491" s="16" t="str">
        <f t="shared" ca="1" si="23"/>
        <v/>
      </c>
    </row>
    <row r="492" spans="3:25" x14ac:dyDescent="0.25">
      <c r="C492" s="17"/>
      <c r="G492" s="17"/>
      <c r="J492" s="17"/>
      <c r="M492" s="17"/>
      <c r="O492" s="17"/>
      <c r="Q492" s="17"/>
      <c r="T492" s="17"/>
      <c r="W492" s="15" t="str">
        <f t="shared" si="21"/>
        <v/>
      </c>
      <c r="X492" s="15" t="str">
        <f t="shared" si="22"/>
        <v/>
      </c>
      <c r="Y492" s="16" t="str">
        <f t="shared" ca="1" si="23"/>
        <v/>
      </c>
    </row>
    <row r="493" spans="3:25" x14ac:dyDescent="0.25">
      <c r="C493" s="17"/>
      <c r="G493" s="17"/>
      <c r="J493" s="17"/>
      <c r="M493" s="17"/>
      <c r="O493" s="17"/>
      <c r="Q493" s="17"/>
      <c r="T493" s="17"/>
      <c r="W493" s="15" t="str">
        <f t="shared" si="21"/>
        <v/>
      </c>
      <c r="X493" s="15" t="str">
        <f t="shared" si="22"/>
        <v/>
      </c>
      <c r="Y493" s="16" t="str">
        <f t="shared" ca="1" si="23"/>
        <v/>
      </c>
    </row>
    <row r="494" spans="3:25" x14ac:dyDescent="0.25">
      <c r="C494" s="17"/>
      <c r="G494" s="17"/>
      <c r="J494" s="17"/>
      <c r="M494" s="17"/>
      <c r="O494" s="17"/>
      <c r="Q494" s="17"/>
      <c r="T494" s="17"/>
      <c r="W494" s="15" t="str">
        <f t="shared" si="21"/>
        <v/>
      </c>
      <c r="X494" s="15" t="str">
        <f t="shared" si="22"/>
        <v/>
      </c>
      <c r="Y494" s="16" t="str">
        <f t="shared" ca="1" si="23"/>
        <v/>
      </c>
    </row>
    <row r="495" spans="3:25" x14ac:dyDescent="0.25">
      <c r="C495" s="17"/>
      <c r="G495" s="17"/>
      <c r="J495" s="17"/>
      <c r="M495" s="17"/>
      <c r="O495" s="17"/>
      <c r="Q495" s="17"/>
      <c r="T495" s="17"/>
      <c r="W495" s="15" t="str">
        <f t="shared" si="21"/>
        <v/>
      </c>
      <c r="X495" s="15" t="str">
        <f t="shared" si="22"/>
        <v/>
      </c>
      <c r="Y495" s="16" t="str">
        <f t="shared" ca="1" si="23"/>
        <v/>
      </c>
    </row>
    <row r="496" spans="3:25" x14ac:dyDescent="0.25">
      <c r="C496" s="17"/>
      <c r="G496" s="17"/>
      <c r="J496" s="17"/>
      <c r="M496" s="17"/>
      <c r="O496" s="17"/>
      <c r="Q496" s="17"/>
      <c r="T496" s="17"/>
      <c r="W496" s="15" t="str">
        <f t="shared" si="21"/>
        <v/>
      </c>
      <c r="X496" s="15" t="str">
        <f t="shared" si="22"/>
        <v/>
      </c>
      <c r="Y496" s="16" t="str">
        <f t="shared" ca="1" si="23"/>
        <v/>
      </c>
    </row>
    <row r="497" spans="3:25" x14ac:dyDescent="0.25">
      <c r="C497" s="17"/>
      <c r="G497" s="17"/>
      <c r="J497" s="17"/>
      <c r="M497" s="17"/>
      <c r="O497" s="17"/>
      <c r="Q497" s="17"/>
      <c r="T497" s="17"/>
      <c r="W497" s="15" t="str">
        <f t="shared" si="21"/>
        <v/>
      </c>
      <c r="X497" s="15" t="str">
        <f t="shared" si="22"/>
        <v/>
      </c>
      <c r="Y497" s="16" t="str">
        <f t="shared" ca="1" si="23"/>
        <v/>
      </c>
    </row>
    <row r="498" spans="3:25" x14ac:dyDescent="0.25">
      <c r="C498" s="17"/>
      <c r="G498" s="17"/>
      <c r="J498" s="17"/>
      <c r="M498" s="17"/>
      <c r="O498" s="17"/>
      <c r="Q498" s="17"/>
      <c r="T498" s="17"/>
      <c r="W498" s="15" t="str">
        <f t="shared" si="21"/>
        <v/>
      </c>
      <c r="X498" s="15" t="str">
        <f t="shared" si="22"/>
        <v/>
      </c>
      <c r="Y498" s="16" t="str">
        <f t="shared" ca="1" si="23"/>
        <v/>
      </c>
    </row>
    <row r="499" spans="3:25" x14ac:dyDescent="0.25">
      <c r="C499" s="17"/>
      <c r="G499" s="17"/>
      <c r="J499" s="17"/>
      <c r="M499" s="17"/>
      <c r="O499" s="17"/>
      <c r="Q499" s="17"/>
      <c r="T499" s="17"/>
      <c r="W499" s="15" t="str">
        <f t="shared" si="21"/>
        <v/>
      </c>
      <c r="X499" s="15" t="str">
        <f t="shared" si="22"/>
        <v/>
      </c>
      <c r="Y499" s="16" t="str">
        <f t="shared" ca="1" si="23"/>
        <v/>
      </c>
    </row>
    <row r="500" spans="3:25" x14ac:dyDescent="0.25">
      <c r="C500" s="17"/>
      <c r="G500" s="17"/>
      <c r="J500" s="17"/>
      <c r="M500" s="17"/>
      <c r="O500" s="17"/>
      <c r="Q500" s="17"/>
      <c r="T500" s="17"/>
      <c r="W500" s="15" t="str">
        <f t="shared" si="21"/>
        <v/>
      </c>
      <c r="X500" s="15" t="str">
        <f t="shared" si="22"/>
        <v/>
      </c>
      <c r="Y500" s="16" t="str">
        <f t="shared" ca="1" si="23"/>
        <v/>
      </c>
    </row>
  </sheetData>
  <autoFilter ref="A1:Y500" xr:uid="{00000000-0009-0000-0000-000001000000}"/>
  <conditionalFormatting sqref="A2:Y500">
    <cfRule type="expression" dxfId="15" priority="10">
      <formula>$B2="Paralegal"</formula>
    </cfRule>
    <cfRule type="expression" dxfId="14" priority="11">
      <formula>$B2="Legal Assistant"</formula>
    </cfRule>
    <cfRule type="expression" dxfId="13" priority="12">
      <formula>$B2="Attorney – Mass Arbitration"</formula>
    </cfRule>
    <cfRule type="expression" dxfId="12" priority="13">
      <formula>$B2="Attorney – Data Breach"</formula>
    </cfRule>
    <cfRule type="expression" dxfId="11" priority="14">
      <formula>$B2="Attorney – Privacy"</formula>
    </cfRule>
    <cfRule type="expression" dxfId="10" priority="15">
      <formula>$B2="Partner-Level Associate Attorney"</formula>
    </cfRule>
    <cfRule type="expression" dxfId="9" priority="16">
      <formula>$A2&lt;&gt;""</formula>
    </cfRule>
  </conditionalFormatting>
  <conditionalFormatting sqref="F2:F500">
    <cfRule type="expression" dxfId="8" priority="2">
      <formula>AND($A2&lt;&gt;"",$F2="",$C2&lt;&gt;"",TODAY()-$C2&gt;10)</formula>
    </cfRule>
  </conditionalFormatting>
  <conditionalFormatting sqref="J2:J500">
    <cfRule type="expression" dxfId="7" priority="3">
      <formula>AND($F2="Yes",$G2&lt;&gt;"",$J2="",$X2="Active",$H2&lt;&gt;"Rejected",$H2&lt;&gt;"Cancelled",TODAY()-$G2&gt;7)</formula>
    </cfRule>
  </conditionalFormatting>
  <conditionalFormatting sqref="Q2:Q500">
    <cfRule type="expression" dxfId="6" priority="4">
      <formula>AND($O2&lt;&gt;"",$P2&lt;&gt;"Yes",$X2="Active",TODAY()-$O2&gt;5)</formula>
    </cfRule>
  </conditionalFormatting>
  <conditionalFormatting sqref="T2:T500">
    <cfRule type="expression" dxfId="5" priority="1">
      <formula>AND($U2="Pending",$T2&lt;&gt;"",TODAY()-$T2&gt;14)</formula>
    </cfRule>
  </conditionalFormatting>
  <conditionalFormatting sqref="U2:U500">
    <cfRule type="cellIs" dxfId="4" priority="5" operator="equal">
      <formula>"Accepted"</formula>
    </cfRule>
    <cfRule type="cellIs" dxfId="3" priority="6" operator="equal">
      <formula>"Declined"</formula>
    </cfRule>
    <cfRule type="cellIs" dxfId="2" priority="7" operator="equal">
      <formula>"Pending"</formula>
    </cfRule>
  </conditionalFormatting>
  <conditionalFormatting sqref="X2:X500">
    <cfRule type="cellIs" dxfId="1" priority="8" operator="equal">
      <formula>"Closed"</formula>
    </cfRule>
    <cfRule type="cellIs" dxfId="0" priority="9" operator="equal">
      <formula>"Active"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errorTitle="Invalid entry" error="Pick a value from the dropdown list." xr:uid="{00000000-0002-0000-0100-000000000000}">
          <x14:formula1>
            <xm:f>Lists!$A$2:$A$7</xm:f>
          </x14:formula1>
          <xm:sqref>B2:B500</xm:sqref>
        </x14:dataValidation>
        <x14:dataValidation type="list" allowBlank="1" showErrorMessage="1" errorTitle="Invalid entry" error="Pick a value from the dropdown list." xr:uid="{00000000-0002-0000-0100-000001000000}">
          <x14:formula1>
            <xm:f>Lists!$B$2:$B$8</xm:f>
          </x14:formula1>
          <xm:sqref>D2:D500</xm:sqref>
        </x14:dataValidation>
        <x14:dataValidation type="list" allowBlank="1" showErrorMessage="1" errorTitle="Invalid entry" error="Pick a value from the dropdown list." xr:uid="{00000000-0002-0000-0100-000002000000}">
          <x14:formula1>
            <xm:f>Lists!$C$2:$C$6</xm:f>
          </x14:formula1>
          <xm:sqref>E2:E500</xm:sqref>
        </x14:dataValidation>
        <x14:dataValidation type="list" allowBlank="1" showErrorMessage="1" errorTitle="Invalid entry" error="Pick a value from the dropdown list." xr:uid="{00000000-0002-0000-0100-000003000000}">
          <x14:formula1>
            <xm:f>Lists!$D$2:$D$3</xm:f>
          </x14:formula1>
          <xm:sqref>F2:F500 N2:N500 P2:P500 S2:S500</xm:sqref>
        </x14:dataValidation>
        <x14:dataValidation type="list" allowBlank="1" showErrorMessage="1" errorTitle="Invalid entry" error="Pick a value from the dropdown list." xr:uid="{00000000-0002-0000-0100-000004000000}">
          <x14:formula1>
            <xm:f>Lists!$E$2:$E$8</xm:f>
          </x14:formula1>
          <xm:sqref>H2:H500 K2:K500</xm:sqref>
        </x14:dataValidation>
        <x14:dataValidation type="list" allowBlank="1" showErrorMessage="1" errorTitle="Invalid entry" error="Pick a value from the dropdown list." xr:uid="{00000000-0002-0000-0100-000005000000}">
          <x14:formula1>
            <xm:f>Lists!$F$2:$F$10</xm:f>
          </x14:formula1>
          <xm:sqref>I2:I500</xm:sqref>
        </x14:dataValidation>
        <x14:dataValidation type="list" allowBlank="1" showErrorMessage="1" errorTitle="Invalid entry" error="Pick a value from the dropdown list." xr:uid="{00000000-0002-0000-0100-000006000000}">
          <x14:formula1>
            <xm:f>Lists!$G$2:$G$3</xm:f>
          </x14:formula1>
          <xm:sqref>L2:L500</xm:sqref>
        </x14:dataValidation>
        <x14:dataValidation type="list" allowBlank="1" showErrorMessage="1" errorTitle="Invalid entry" error="Pick a value from the dropdown list." xr:uid="{00000000-0002-0000-0100-000007000000}">
          <x14:formula1>
            <xm:f>Lists!$H$2:$H$4</xm:f>
          </x14:formula1>
          <xm:sqref>R2:R500</xm:sqref>
        </x14:dataValidation>
        <x14:dataValidation type="list" allowBlank="1" showErrorMessage="1" errorTitle="Invalid entry" error="Pick a value from the dropdown list." xr:uid="{00000000-0002-0000-0100-000008000000}">
          <x14:formula1>
            <xm:f>Lists!$I$2:$I$4</xm:f>
          </x14:formula1>
          <xm:sqref>U2:U500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showGridLines="0" workbookViewId="0"/>
  </sheetViews>
  <sheetFormatPr defaultRowHeight="15" x14ac:dyDescent="0.25"/>
  <cols>
    <col min="1" max="1" width="30" customWidth="1"/>
    <col min="2" max="2" width="12" customWidth="1"/>
    <col min="3" max="4" width="14" customWidth="1"/>
    <col min="5" max="5" width="16" customWidth="1"/>
    <col min="6" max="6" width="4" customWidth="1"/>
    <col min="7" max="7" width="22" customWidth="1"/>
    <col min="8" max="8" width="16" customWidth="1"/>
  </cols>
  <sheetData>
    <row r="1" spans="1:8" ht="21" x14ac:dyDescent="0.35">
      <c r="A1" s="18" t="s">
        <v>97</v>
      </c>
    </row>
    <row r="2" spans="1:8" x14ac:dyDescent="0.25">
      <c r="A2" s="19" t="s">
        <v>98</v>
      </c>
    </row>
    <row r="4" spans="1:8" ht="15.75" x14ac:dyDescent="0.25">
      <c r="A4" s="20" t="s">
        <v>99</v>
      </c>
      <c r="B4" s="21"/>
      <c r="C4" s="21"/>
      <c r="G4" s="22" t="s">
        <v>100</v>
      </c>
      <c r="H4" s="21"/>
    </row>
    <row r="5" spans="1:8" x14ac:dyDescent="0.25">
      <c r="A5" s="23" t="s">
        <v>46</v>
      </c>
      <c r="B5" s="24" t="s">
        <v>101</v>
      </c>
      <c r="C5" s="24" t="s">
        <v>102</v>
      </c>
      <c r="G5" s="25" t="s">
        <v>103</v>
      </c>
      <c r="H5" s="13">
        <f>COUNTIF(Tracker!$X$2:$X$500,"Active")</f>
        <v>3</v>
      </c>
    </row>
    <row r="6" spans="1:8" x14ac:dyDescent="0.25">
      <c r="A6" s="25" t="str">
        <f>Lists!$A$2</f>
        <v>Paralegal</v>
      </c>
      <c r="B6" s="13">
        <f>COUNTIF(Tracker!$B$2:$B$500,Lists!$A$2)</f>
        <v>1</v>
      </c>
      <c r="C6" s="26">
        <f t="shared" ref="C6:C11" si="0">IFERROR(B6/$B$12,0)</f>
        <v>0.25</v>
      </c>
      <c r="G6" s="25" t="s">
        <v>104</v>
      </c>
      <c r="H6" s="13">
        <f>COUNTIF(Tracker!$X$2:$X$500,"Closed")</f>
        <v>1</v>
      </c>
    </row>
    <row r="7" spans="1:8" x14ac:dyDescent="0.25">
      <c r="A7" s="25" t="str">
        <f>Lists!$A$3</f>
        <v>Legal Assistant</v>
      </c>
      <c r="B7" s="13">
        <f>COUNTIF(Tracker!$B$2:$B$500,Lists!$A$3)</f>
        <v>1</v>
      </c>
      <c r="C7" s="26">
        <f t="shared" si="0"/>
        <v>0.25</v>
      </c>
      <c r="G7" s="25" t="s">
        <v>105</v>
      </c>
      <c r="H7" s="13">
        <f>COUNTIF(Tracker!$U$2:$U$500,"Accepted")</f>
        <v>1</v>
      </c>
    </row>
    <row r="8" spans="1:8" x14ac:dyDescent="0.25">
      <c r="A8" s="25" t="str">
        <f>Lists!$A$4</f>
        <v>Attorney – Mass Arbitration</v>
      </c>
      <c r="B8" s="13">
        <f>COUNTIF(Tracker!$B$2:$B$500,Lists!$A$4)</f>
        <v>0</v>
      </c>
      <c r="C8" s="26">
        <f t="shared" si="0"/>
        <v>0</v>
      </c>
      <c r="G8" s="25" t="s">
        <v>106</v>
      </c>
      <c r="H8" s="13">
        <f>COUNTIF(Tracker!$U$2:$U$500,"Declined")</f>
        <v>0</v>
      </c>
    </row>
    <row r="9" spans="1:8" x14ac:dyDescent="0.25">
      <c r="A9" s="25" t="str">
        <f>Lists!$A$5</f>
        <v>Attorney – Data Breach</v>
      </c>
      <c r="B9" s="13">
        <f>COUNTIF(Tracker!$B$2:$B$500,Lists!$A$5)</f>
        <v>1</v>
      </c>
      <c r="C9" s="26">
        <f t="shared" si="0"/>
        <v>0.25</v>
      </c>
      <c r="G9" s="25" t="s">
        <v>107</v>
      </c>
      <c r="H9" s="13">
        <f>COUNTIF(Tracker!$U$2:$U$500,"Pending")</f>
        <v>1</v>
      </c>
    </row>
    <row r="10" spans="1:8" x14ac:dyDescent="0.25">
      <c r="A10" s="25" t="str">
        <f>Lists!$A$6</f>
        <v>Attorney – Privacy</v>
      </c>
      <c r="B10" s="13">
        <f>COUNTIF(Tracker!$B$2:$B$500,Lists!$A$6)</f>
        <v>0</v>
      </c>
      <c r="C10" s="26">
        <f t="shared" si="0"/>
        <v>0</v>
      </c>
    </row>
    <row r="11" spans="1:8" x14ac:dyDescent="0.25">
      <c r="A11" s="25" t="str">
        <f>Lists!$A$7</f>
        <v>Partner-Level Associate Attorney</v>
      </c>
      <c r="B11" s="13">
        <f>COUNTIF(Tracker!$B$2:$B$500,Lists!$A$7)</f>
        <v>1</v>
      </c>
      <c r="C11" s="26">
        <f t="shared" si="0"/>
        <v>0.25</v>
      </c>
    </row>
    <row r="12" spans="1:8" ht="15.75" x14ac:dyDescent="0.25">
      <c r="A12" s="27" t="s">
        <v>108</v>
      </c>
      <c r="B12" s="27">
        <f>SUM(B6:B11)</f>
        <v>4</v>
      </c>
      <c r="C12" s="28">
        <f>IFERROR(B12/B12,0)</f>
        <v>1</v>
      </c>
      <c r="G12" s="22" t="s">
        <v>109</v>
      </c>
      <c r="H12" s="21"/>
    </row>
    <row r="13" spans="1:8" x14ac:dyDescent="0.25">
      <c r="G13" s="25" t="s">
        <v>110</v>
      </c>
      <c r="H13" s="13">
        <f ca="1">IFERROR(ROUND(AVERAGEIFS(Tracker!$Y$2:$Y$500,Tracker!$X$2:$X$500,"Active"),0),0)</f>
        <v>74</v>
      </c>
    </row>
    <row r="14" spans="1:8" x14ac:dyDescent="0.25">
      <c r="G14" s="25" t="s">
        <v>111</v>
      </c>
      <c r="H14" s="13">
        <f t="array" aca="1" ref="H14" ca="1">IFERROR(MAX(IF(Tracker!$X$2:$X$500="Active",Tracker!$Y$2:$Y$500)),0)</f>
        <v>116</v>
      </c>
    </row>
    <row r="15" spans="1:8" ht="31.5" x14ac:dyDescent="0.25">
      <c r="A15" s="20" t="s">
        <v>112</v>
      </c>
      <c r="B15" s="21"/>
      <c r="C15" s="21"/>
      <c r="D15" s="21"/>
      <c r="G15" s="25" t="s">
        <v>113</v>
      </c>
      <c r="H15" s="13">
        <f>COUNTA(Tracker!$A$2:$A$500)</f>
        <v>4</v>
      </c>
    </row>
    <row r="16" spans="1:8" ht="30" x14ac:dyDescent="0.25">
      <c r="A16" s="23" t="s">
        <v>114</v>
      </c>
      <c r="B16" s="24" t="s">
        <v>101</v>
      </c>
      <c r="C16" s="24" t="s">
        <v>115</v>
      </c>
      <c r="D16" s="24" t="s">
        <v>116</v>
      </c>
      <c r="G16" s="19" t="s">
        <v>117</v>
      </c>
    </row>
    <row r="17" spans="1:4" x14ac:dyDescent="0.25">
      <c r="A17" s="25" t="s">
        <v>118</v>
      </c>
      <c r="B17" s="13">
        <f>COUNTA(Tracker!$A$2:$A$500)</f>
        <v>4</v>
      </c>
      <c r="C17" s="26">
        <f t="shared" ref="C17:C24" si="1">IFERROR(B17/$B$17,0)</f>
        <v>1</v>
      </c>
      <c r="D17" s="13" t="s">
        <v>119</v>
      </c>
    </row>
    <row r="18" spans="1:4" x14ac:dyDescent="0.25">
      <c r="A18" s="25" t="s">
        <v>120</v>
      </c>
      <c r="B18" s="13">
        <f>COUNTIF(Tracker!$F$2:$F$500,"Yes")</f>
        <v>4</v>
      </c>
      <c r="C18" s="26">
        <f t="shared" si="1"/>
        <v>1</v>
      </c>
      <c r="D18" s="26">
        <f t="shared" ref="D18:D24" si="2">IFERROR(B18/B17,"")</f>
        <v>1</v>
      </c>
    </row>
    <row r="19" spans="1:4" x14ac:dyDescent="0.25">
      <c r="A19" s="25" t="s">
        <v>121</v>
      </c>
      <c r="B19" s="13">
        <f>COUNTIF(Tracker!$H$2:$H$500,"&lt;&gt;")</f>
        <v>3</v>
      </c>
      <c r="C19" s="26">
        <f t="shared" si="1"/>
        <v>0.75</v>
      </c>
      <c r="D19" s="26">
        <f t="shared" si="2"/>
        <v>0.75</v>
      </c>
    </row>
    <row r="20" spans="1:4" x14ac:dyDescent="0.25">
      <c r="A20" s="25" t="s">
        <v>122</v>
      </c>
      <c r="B20" s="13">
        <f>COUNTIF(Tracker!$K$2:$K$500,"&lt;&gt;")</f>
        <v>3</v>
      </c>
      <c r="C20" s="26">
        <f t="shared" si="1"/>
        <v>0.75</v>
      </c>
      <c r="D20" s="26">
        <f t="shared" si="2"/>
        <v>1</v>
      </c>
    </row>
    <row r="21" spans="1:4" x14ac:dyDescent="0.25">
      <c r="A21" s="25" t="s">
        <v>123</v>
      </c>
      <c r="B21" s="13">
        <f>COUNTIF(Tracker!$O$2:$O$500,"&lt;&gt;")</f>
        <v>1</v>
      </c>
      <c r="C21" s="26">
        <f t="shared" si="1"/>
        <v>0.25</v>
      </c>
      <c r="D21" s="26">
        <f t="shared" si="2"/>
        <v>0.33333333333333331</v>
      </c>
    </row>
    <row r="22" spans="1:4" x14ac:dyDescent="0.25">
      <c r="A22" s="25" t="s">
        <v>124</v>
      </c>
      <c r="B22" s="13">
        <f>COUNTIF(Tracker!$R$2:$R$500,"In Progress")+COUNTIF(Tracker!$R$2:$R$500,"Completed")</f>
        <v>2</v>
      </c>
      <c r="C22" s="26">
        <f t="shared" si="1"/>
        <v>0.5</v>
      </c>
      <c r="D22" s="26">
        <f t="shared" si="2"/>
        <v>2</v>
      </c>
    </row>
    <row r="23" spans="1:4" x14ac:dyDescent="0.25">
      <c r="A23" s="25" t="s">
        <v>125</v>
      </c>
      <c r="B23" s="13">
        <f>COUNTIF(Tracker!$S$2:$S$500,"Yes")</f>
        <v>2</v>
      </c>
      <c r="C23" s="26">
        <f t="shared" si="1"/>
        <v>0.5</v>
      </c>
      <c r="D23" s="26">
        <f t="shared" si="2"/>
        <v>1</v>
      </c>
    </row>
    <row r="24" spans="1:4" x14ac:dyDescent="0.25">
      <c r="A24" s="25" t="s">
        <v>126</v>
      </c>
      <c r="B24" s="13">
        <f>COUNTIF(Tracker!$U$2:$U$500,"Accepted")</f>
        <v>1</v>
      </c>
      <c r="C24" s="26">
        <f t="shared" si="1"/>
        <v>0.25</v>
      </c>
      <c r="D24" s="26">
        <f t="shared" si="2"/>
        <v>0.5</v>
      </c>
    </row>
    <row r="27" spans="1:4" ht="15.75" x14ac:dyDescent="0.25">
      <c r="A27" s="22" t="s">
        <v>127</v>
      </c>
      <c r="B27" s="21"/>
      <c r="C27" s="21"/>
    </row>
    <row r="28" spans="1:4" x14ac:dyDescent="0.25">
      <c r="A28" s="29"/>
      <c r="B28" s="30" t="s">
        <v>128</v>
      </c>
    </row>
    <row r="29" spans="1:4" x14ac:dyDescent="0.25">
      <c r="A29" s="31"/>
      <c r="B29" s="30" t="s">
        <v>129</v>
      </c>
    </row>
    <row r="30" spans="1:4" x14ac:dyDescent="0.25">
      <c r="A30" s="32"/>
      <c r="B30" s="30" t="s">
        <v>130</v>
      </c>
    </row>
    <row r="31" spans="1:4" x14ac:dyDescent="0.25">
      <c r="A31" s="33"/>
      <c r="B31" s="30" t="s">
        <v>131</v>
      </c>
    </row>
    <row r="33" spans="1:2" x14ac:dyDescent="0.25">
      <c r="A33" s="34" t="s">
        <v>132</v>
      </c>
    </row>
    <row r="34" spans="1:2" x14ac:dyDescent="0.25">
      <c r="A34" s="35"/>
      <c r="B34" s="30" t="s">
        <v>18</v>
      </c>
    </row>
    <row r="35" spans="1:2" x14ac:dyDescent="0.25">
      <c r="A35" s="36"/>
      <c r="B35" s="30" t="s">
        <v>19</v>
      </c>
    </row>
    <row r="36" spans="1:2" x14ac:dyDescent="0.25">
      <c r="A36" s="37"/>
      <c r="B36" s="30" t="s">
        <v>20</v>
      </c>
    </row>
    <row r="37" spans="1:2" x14ac:dyDescent="0.25">
      <c r="A37" s="38"/>
      <c r="B37" s="30" t="s">
        <v>21</v>
      </c>
    </row>
    <row r="38" spans="1:2" x14ac:dyDescent="0.25">
      <c r="A38" s="39"/>
      <c r="B38" s="30" t="s">
        <v>22</v>
      </c>
    </row>
    <row r="39" spans="1:2" x14ac:dyDescent="0.25">
      <c r="A39" s="40"/>
      <c r="B39" s="30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/>
  </sheetViews>
  <sheetFormatPr defaultRowHeight="15" x14ac:dyDescent="0.25"/>
  <cols>
    <col min="1" max="1" width="17" customWidth="1"/>
    <col min="2" max="4" width="16" customWidth="1"/>
    <col min="5" max="5" width="18" customWidth="1"/>
    <col min="6" max="6" width="25" customWidth="1"/>
    <col min="7" max="7" width="21" customWidth="1"/>
    <col min="8" max="8" width="24" customWidth="1"/>
    <col min="9" max="9" width="16" customWidth="1"/>
  </cols>
  <sheetData>
    <row r="1" spans="1:9" x14ac:dyDescent="0.25">
      <c r="A1" s="41" t="s">
        <v>46</v>
      </c>
      <c r="B1" s="41" t="s">
        <v>48</v>
      </c>
      <c r="C1" s="41" t="s">
        <v>49</v>
      </c>
      <c r="D1" s="41" t="s">
        <v>133</v>
      </c>
      <c r="E1" s="41" t="s">
        <v>134</v>
      </c>
      <c r="F1" s="41" t="s">
        <v>53</v>
      </c>
      <c r="G1" s="41" t="s">
        <v>56</v>
      </c>
      <c r="H1" s="41" t="s">
        <v>62</v>
      </c>
      <c r="I1" s="41" t="s">
        <v>65</v>
      </c>
    </row>
    <row r="2" spans="1:9" x14ac:dyDescent="0.25">
      <c r="A2" s="30" t="s">
        <v>18</v>
      </c>
      <c r="B2" s="30" t="s">
        <v>71</v>
      </c>
      <c r="C2" s="30" t="s">
        <v>82</v>
      </c>
      <c r="D2" s="30" t="s">
        <v>72</v>
      </c>
      <c r="E2" s="30" t="s">
        <v>135</v>
      </c>
      <c r="F2" s="30" t="s">
        <v>74</v>
      </c>
      <c r="G2" s="30" t="s">
        <v>76</v>
      </c>
      <c r="H2" s="30" t="s">
        <v>78</v>
      </c>
      <c r="I2" s="30" t="s">
        <v>95</v>
      </c>
    </row>
    <row r="3" spans="1:9" x14ac:dyDescent="0.25">
      <c r="A3" s="30" t="s">
        <v>19</v>
      </c>
      <c r="B3" s="30" t="s">
        <v>81</v>
      </c>
      <c r="C3" s="30" t="s">
        <v>136</v>
      </c>
      <c r="D3" s="30" t="s">
        <v>77</v>
      </c>
      <c r="E3" s="30" t="s">
        <v>75</v>
      </c>
      <c r="F3" s="30" t="s">
        <v>87</v>
      </c>
      <c r="G3" s="30" t="s">
        <v>89</v>
      </c>
      <c r="H3" s="30" t="s">
        <v>137</v>
      </c>
      <c r="I3" s="30" t="s">
        <v>138</v>
      </c>
    </row>
    <row r="4" spans="1:9" x14ac:dyDescent="0.25">
      <c r="A4" s="30" t="s">
        <v>20</v>
      </c>
      <c r="B4" s="30" t="s">
        <v>139</v>
      </c>
      <c r="C4" s="30" t="s">
        <v>71</v>
      </c>
      <c r="E4" s="30" t="s">
        <v>88</v>
      </c>
      <c r="F4" s="30" t="s">
        <v>94</v>
      </c>
      <c r="H4" s="30" t="s">
        <v>88</v>
      </c>
      <c r="I4" s="30" t="s">
        <v>90</v>
      </c>
    </row>
    <row r="5" spans="1:9" x14ac:dyDescent="0.25">
      <c r="A5" s="30" t="s">
        <v>21</v>
      </c>
      <c r="B5" s="30" t="s">
        <v>140</v>
      </c>
      <c r="C5" s="30" t="s">
        <v>86</v>
      </c>
      <c r="E5" s="30" t="s">
        <v>73</v>
      </c>
      <c r="F5" s="30" t="s">
        <v>141</v>
      </c>
    </row>
    <row r="6" spans="1:9" x14ac:dyDescent="0.25">
      <c r="A6" s="30" t="s">
        <v>22</v>
      </c>
      <c r="B6" s="30" t="s">
        <v>85</v>
      </c>
      <c r="C6" s="30" t="s">
        <v>142</v>
      </c>
      <c r="E6" s="30" t="s">
        <v>143</v>
      </c>
      <c r="F6" s="30" t="s">
        <v>144</v>
      </c>
    </row>
    <row r="7" spans="1:9" x14ac:dyDescent="0.25">
      <c r="A7" s="30" t="s">
        <v>23</v>
      </c>
      <c r="B7" s="30" t="s">
        <v>93</v>
      </c>
      <c r="E7" s="30" t="s">
        <v>145</v>
      </c>
      <c r="F7" s="30" t="s">
        <v>146</v>
      </c>
    </row>
    <row r="8" spans="1:9" x14ac:dyDescent="0.25">
      <c r="B8" s="30" t="s">
        <v>142</v>
      </c>
      <c r="E8" s="30" t="s">
        <v>147</v>
      </c>
      <c r="F8" s="30" t="s">
        <v>148</v>
      </c>
    </row>
    <row r="9" spans="1:9" x14ac:dyDescent="0.25">
      <c r="F9" s="30" t="s">
        <v>149</v>
      </c>
    </row>
    <row r="10" spans="1:9" x14ac:dyDescent="0.25">
      <c r="F10" s="30" t="s">
        <v>150</v>
      </c>
    </row>
    <row r="12" spans="1:9" x14ac:dyDescent="0.25">
      <c r="A12" s="19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Tracker</vt:lpstr>
      <vt:lpstr>Dashboard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Samson</cp:lastModifiedBy>
  <dcterms:created xsi:type="dcterms:W3CDTF">2026-06-25T19:38:27Z</dcterms:created>
  <dcterms:modified xsi:type="dcterms:W3CDTF">2026-06-25T19:38:58Z</dcterms:modified>
</cp:coreProperties>
</file>